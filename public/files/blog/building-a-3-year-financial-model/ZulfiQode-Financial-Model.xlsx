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Salary" sheetId="3" state="visible" r:id="rId5"/>
    <sheet name="Depreciation" sheetId="4" state="visible" r:id="rId6"/>
    <sheet name="Income Statement" sheetId="5" state="visible" r:id="rId7"/>
    <sheet name="Balance Sheet" sheetId="6" state="visible" r:id="rId8"/>
    <sheet name="Cashflow Statemen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<sst xmlns="http://schemas.openxmlformats.org/spreadsheetml/2006/main" count="169" uniqueCount="144">
  <si>
    <t xml:space="preserve">ZulfiQode — Black Iron Quantum AI</t>
  </si>
  <si>
    <t xml:space="preserve">3-Year Financial Model Dashboard  |  Currency: PKR (USD reference in Assumptions)</t>
  </si>
  <si>
    <t xml:space="preserve">KEY METRICS</t>
  </si>
  <si>
    <t xml:space="preserve">Total 3-Yr Revenue (PKR)</t>
  </si>
  <si>
    <t xml:space="preserve">Total 3-Yr Net Profit (PKR)</t>
  </si>
  <si>
    <t xml:space="preserve">Ending Cash, Month 36 (PKR)</t>
  </si>
  <si>
    <t xml:space="preserve">Breakeven Month #</t>
  </si>
  <si>
    <t xml:space="preserve">Lowest Cash Point (PKR)</t>
  </si>
  <si>
    <t xml:space="preserve">Corporate Clients, Yr 3 end</t>
  </si>
  <si>
    <t xml:space="preserve">SaaS Subscribers, Yr 3 end</t>
  </si>
  <si>
    <t xml:space="preserve">ANNUAL SUMMARY</t>
  </si>
  <si>
    <t xml:space="preserve">Metric</t>
  </si>
  <si>
    <t xml:space="preserve">Year 1</t>
  </si>
  <si>
    <t xml:space="preserve">Year 2</t>
  </si>
  <si>
    <t xml:space="preserve">Year 3</t>
  </si>
  <si>
    <t xml:space="preserve">Revenue (PKR)</t>
  </si>
  <si>
    <t xml:space="preserve">COGS (PKR)</t>
  </si>
  <si>
    <t xml:space="preserve">Gross Profit (PKR)</t>
  </si>
  <si>
    <t xml:space="preserve">Total OpEx (PKR)</t>
  </si>
  <si>
    <t xml:space="preserve">Net Profit (PKR)</t>
  </si>
  <si>
    <t xml:space="preserve">Ending Cash (PKR)</t>
  </si>
  <si>
    <t xml:space="preserve">Corporate Clients (end of year)</t>
  </si>
  <si>
    <t xml:space="preserve">SaaS Subscribers (end of year)</t>
  </si>
  <si>
    <t xml:space="preserve">TRENDS</t>
  </si>
  <si>
    <t xml:space="preserve">ZulfiQode — Black Iron Quantum AI | 3-Year Monthly Financial Model</t>
  </si>
  <si>
    <t xml:space="preserve">Assumptions tab — Step 1: Revenue Drivers (currency: PKR, with USD reference). Cost drivers added in Step 2.</t>
  </si>
  <si>
    <t xml:space="preserve">Legend:  Blue text = input, edit freely   |   Black text = formula, do not overtype   |   Yellow fill = key assumption to review</t>
  </si>
  <si>
    <t xml:space="preserve">Year</t>
  </si>
  <si>
    <t xml:space="preserve">Month #</t>
  </si>
  <si>
    <t xml:space="preserve">PKR / USD exchange rate (reference)</t>
  </si>
  <si>
    <t xml:space="preserve">REVENUE DRIVERS — CORPORATE (ENTERPRISE) CLIENTS</t>
  </si>
  <si>
    <t xml:space="preserve">New corporate clients signed this month (input)</t>
  </si>
  <si>
    <t xml:space="preserve">Cumulative corporate clients (formula)</t>
  </si>
  <si>
    <t xml:space="preserve">Annual Contract Value per corporate client, PKR (input)</t>
  </si>
  <si>
    <t xml:space="preserve">Corporate revenue this month, PKR (formula) = cumulative clients × ACV ÷ 12</t>
  </si>
  <si>
    <t xml:space="preserve">REVENUE DRIVERS — SAAS SUBSCRIBERS (launches Year 2)</t>
  </si>
  <si>
    <t xml:space="preserve">New subscribers this month (input)</t>
  </si>
  <si>
    <t xml:space="preserve">Cumulative subscribers (formula)</t>
  </si>
  <si>
    <t xml:space="preserve">Subscription price per month, PKR (input)</t>
  </si>
  <si>
    <t xml:space="preserve">SaaS revenue this month, PKR (formula) = cumulative subscribers × price</t>
  </si>
  <si>
    <t xml:space="preserve">TOTAL REVENUE</t>
  </si>
  <si>
    <t xml:space="preserve">Total revenue this month, PKR (formula)</t>
  </si>
  <si>
    <t xml:space="preserve">Total revenue this month, USD reference (formula)</t>
  </si>
  <si>
    <t xml:space="preserve">COLLECTIONS ASSUMPTION</t>
  </si>
  <si>
    <t xml:space="preserve">Bad debt % of corporate revenue (input)</t>
  </si>
  <si>
    <t xml:space="preserve">Bad debt amount, PKR (formula, reference — used in Step 4 Income Statement)</t>
  </si>
  <si>
    <t xml:space="preserve">COST DRIVERS — COGS (data feeds, compute, hosting)</t>
  </si>
  <si>
    <t xml:space="preserve">Infra &amp; market-data cost per corporate client / month, PKR (input)</t>
  </si>
  <si>
    <t xml:space="preserve">Infra cost — corporate clients, PKR (formula)</t>
  </si>
  <si>
    <t xml:space="preserve">Hosting/support cost per SaaS subscriber / month, PKR (input)</t>
  </si>
  <si>
    <t xml:space="preserve">Hosting cost — SaaS subscribers, PKR (formula)</t>
  </si>
  <si>
    <t xml:space="preserve">Total COGS this month, PKR (formula)</t>
  </si>
  <si>
    <t xml:space="preserve">COST DRIVERS — OPERATING EXPENSES</t>
  </si>
  <si>
    <t xml:space="preserve">Marketing expense, % of total revenue (input)</t>
  </si>
  <si>
    <t xml:space="preserve">Marketing expense, PKR (formula)</t>
  </si>
  <si>
    <t xml:space="preserve">General &amp; administrative expense, PKR / month (input)</t>
  </si>
  <si>
    <t xml:space="preserve">TAX ASSUMPTION</t>
  </si>
  <si>
    <t xml:space="preserve">Corporate income tax rate, Pakistan (input) — applied only when profitable</t>
  </si>
  <si>
    <t xml:space="preserve">WORKING CAPITAL ASSUMPTIONS</t>
  </si>
  <si>
    <t xml:space="preserve">Days Sales Outstanding — Accounts Receivable (input)</t>
  </si>
  <si>
    <t xml:space="preserve">Days Payable Outstanding — Accounts Payable (input)</t>
  </si>
  <si>
    <t xml:space="preserve">ZulfiQode — Team &amp; Salary Schedule (Step 2)</t>
  </si>
  <si>
    <t xml:space="preserve">Headcount is an input (blue). Salary per role is an input (blue). Totals are formulas (black).</t>
  </si>
  <si>
    <t xml:space="preserve">HEADCOUNT (input)</t>
  </si>
  <si>
    <t xml:space="preserve">Founder / CEO</t>
  </si>
  <si>
    <t xml:space="preserve">Quant / AI Engineer</t>
  </si>
  <si>
    <t xml:space="preserve">Backend / Data Engineer</t>
  </si>
  <si>
    <t xml:space="preserve">Sales &amp; BD Lead</t>
  </si>
  <si>
    <t xml:space="preserve">Ops / Admin</t>
  </si>
  <si>
    <t xml:space="preserve">SALARY PER PERSON / MONTH, PKR (input)</t>
  </si>
  <si>
    <t xml:space="preserve">TOTAL SALARY EXPENSE BY ROLE, PKR (formula)</t>
  </si>
  <si>
    <t xml:space="preserve">TOTAL SALARY EXPENSE, PKR (formula)</t>
  </si>
  <si>
    <t xml:space="preserve">ZulfiQode — Depreciation &amp; Capex Schedule (Step 3)</t>
  </si>
  <si>
    <t xml:space="preserve">Asset register (top) drives the monthly depreciation schedule (below) via formulas.</t>
  </si>
  <si>
    <t xml:space="preserve">Legend:  Blue text = input   |   Black text = formula   |   Yellow fill = key assumption</t>
  </si>
  <si>
    <t xml:space="preserve">Asset</t>
  </si>
  <si>
    <t xml:space="preserve">Purchase Month #</t>
  </si>
  <si>
    <t xml:space="preserve">Purchase Price, PKR</t>
  </si>
  <si>
    <t xml:space="preserve">Useful Life, months</t>
  </si>
  <si>
    <t xml:space="preserve">Monthly Depreciation, PKR</t>
  </si>
  <si>
    <t xml:space="preserve">Laptops &amp; Equipment — Year 1 team (4 units)</t>
  </si>
  <si>
    <t xml:space="preserve">GPU / AI Workstation</t>
  </si>
  <si>
    <t xml:space="preserve">Office Setup &amp; Furniture</t>
  </si>
  <si>
    <t xml:space="preserve">Laptops &amp; Equipment — Year 2 additions (3 units)</t>
  </si>
  <si>
    <t xml:space="preserve">Laptops &amp; Equipment — Year 3 additions (3 units)</t>
  </si>
  <si>
    <t xml:space="preserve">Total</t>
  </si>
  <si>
    <t xml:space="preserve">MONTHLY DEPRECIATION BY ASSET (formula)</t>
  </si>
  <si>
    <t xml:space="preserve">Total Depreciation Expense this month, PKR (formula)</t>
  </si>
  <si>
    <t xml:space="preserve">Accumulated Depreciation, PKR (formula)</t>
  </si>
  <si>
    <t xml:space="preserve">Net Book Value of Equipment, PKR (formula) = Total Cost − Accumulated Depreciation</t>
  </si>
  <si>
    <t xml:space="preserve">ZulfiQode — Income Statement (Step 4)</t>
  </si>
  <si>
    <t xml:space="preserve">Pulls revenue &amp; cost drivers from Assumptions, payroll from Salary, and depreciation from Depreciation.</t>
  </si>
  <si>
    <t xml:space="preserve">Legend:  Green text = link to another tab   |   Black text = formula (same tab)   |   Bold = subtotal</t>
  </si>
  <si>
    <t xml:space="preserve">Revenue</t>
  </si>
  <si>
    <t xml:space="preserve">(-) Cost of Revenue (COGS)</t>
  </si>
  <si>
    <t xml:space="preserve">Gross Profit</t>
  </si>
  <si>
    <t xml:space="preserve">OPERATING EXPENSES</t>
  </si>
  <si>
    <t xml:space="preserve">Marketing Expense</t>
  </si>
  <si>
    <t xml:space="preserve">Salary Expense</t>
  </si>
  <si>
    <t xml:space="preserve">General &amp; Administrative Expense</t>
  </si>
  <si>
    <t xml:space="preserve">Bad Debts</t>
  </si>
  <si>
    <t xml:space="preserve">Depreciation Expense</t>
  </si>
  <si>
    <t xml:space="preserve">Total Operating Expenses</t>
  </si>
  <si>
    <t xml:space="preserve">Profit Before Tax</t>
  </si>
  <si>
    <t xml:space="preserve">Tax (applied only when Profit Before Tax &gt; 0)</t>
  </si>
  <si>
    <t xml:space="preserve">Profit After Tax (Net Profit)</t>
  </si>
  <si>
    <t xml:space="preserve">ZulfiQode — Balance Sheet (Step 5)</t>
  </si>
  <si>
    <t xml:space="preserve">Point-in-time snapshot each month. Equipment links from Depreciation; Receivables/Payables from Assumptions.</t>
  </si>
  <si>
    <t xml:space="preserve">Point-in-time snapshot each month. Cash links from the Cashflow Statement; Equipment from Depreciation.</t>
  </si>
  <si>
    <t xml:space="preserve">ASSETS</t>
  </si>
  <si>
    <t xml:space="preserve">Cash (placeholder — linked in Step 6)</t>
  </si>
  <si>
    <t xml:space="preserve">Accounts Receivable (formula) = Revenue × DSO ÷ 30</t>
  </si>
  <si>
    <t xml:space="preserve">Total Current Assets</t>
  </si>
  <si>
    <t xml:space="preserve">Equipment, Net Book Value (link from Depreciation)</t>
  </si>
  <si>
    <t xml:space="preserve">Total Non-Current Assets</t>
  </si>
  <si>
    <t xml:space="preserve">TOTAL ASSETS</t>
  </si>
  <si>
    <t xml:space="preserve">LIABILITIES</t>
  </si>
  <si>
    <t xml:space="preserve">Accounts Payable (formula) = COGS × DPO ÷ 30</t>
  </si>
  <si>
    <t xml:space="preserve">Loans Payable (input — no debt assumed)</t>
  </si>
  <si>
    <t xml:space="preserve">TOTAL LIABILITIES</t>
  </si>
  <si>
    <t xml:space="preserve">EQUITY</t>
  </si>
  <si>
    <t xml:space="preserve">Paid-in Capital — founder + seed investment, PKR (input)</t>
  </si>
  <si>
    <t xml:space="preserve">Retained Earnings (formula) = cumulative Net Profit</t>
  </si>
  <si>
    <t xml:space="preserve">TOTAL EQUITY</t>
  </si>
  <si>
    <t xml:space="preserve">TOTAL LIABILITIES + EQUITY</t>
  </si>
  <si>
    <t xml:space="preserve">Balance Check (Assets − Liab&amp;Equity) — should be 0 once Cash is linked in Step 6</t>
  </si>
  <si>
    <t xml:space="preserve">ZulfiQode — Cashflow Statement (Step 6, indirect method)</t>
  </si>
  <si>
    <t xml:space="preserve">Starts from Net Profit, adjusts for non-cash items and working-capital changes, then tracks the cash balance.</t>
  </si>
  <si>
    <t xml:space="preserve">Legend:  Green text = link to another tab   |   Black text = formula (same tab)</t>
  </si>
  <si>
    <t xml:space="preserve">OPERATING ACTIVITIES</t>
  </si>
  <si>
    <t xml:space="preserve">Net Profit</t>
  </si>
  <si>
    <t xml:space="preserve">Add: Depreciation (non-cash)</t>
  </si>
  <si>
    <t xml:space="preserve">Less: Increase in Accounts Receivable</t>
  </si>
  <si>
    <t xml:space="preserve">Add: Increase in Accounts Payable</t>
  </si>
  <si>
    <t xml:space="preserve">Net Cash from Operating Activities</t>
  </si>
  <si>
    <t xml:space="preserve">INVESTING ACTIVITIES</t>
  </si>
  <si>
    <t xml:space="preserve">Purchase of Equipment (Capex)</t>
  </si>
  <si>
    <t xml:space="preserve">Net Cash from Investing Activities</t>
  </si>
  <si>
    <t xml:space="preserve">FINANCING ACTIVITIES</t>
  </si>
  <si>
    <t xml:space="preserve">Paid-in Capital raised this month</t>
  </si>
  <si>
    <t xml:space="preserve">Net Cash from Financing Activities</t>
  </si>
  <si>
    <t xml:space="preserve">Net Change in Cash</t>
  </si>
  <si>
    <t xml:space="preserve">Beginning Cash</t>
  </si>
  <si>
    <t xml:space="preserve">Ending Cash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</si>
</sst>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"/>
    <numFmt numFmtId="167" formatCode="#,##0;\(#,##0\)"/>
    <numFmt numFmtId="168" formatCode="\$#,##0"/>
    <numFmt numFmtId="169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B3B3B3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(PKR)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1f3864"/>
            </a:solidFill>
            <a:ln w="2808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'Income Statement'!$B$6:$AK$6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'Income Statement'!$B$8:$AK$8</c:f>
              <c:numCache>
                <c:formatCode>#,##0</c:formatCode>
                <c:ptCount val="36"/>
                <c:pt idx="0">
                  <c:v>666666.666666667</c:v>
                </c:pt>
                <c:pt idx="1">
                  <c:v>666666.666666667</c:v>
                </c:pt>
                <c:pt idx="2">
                  <c:v>666666.666666667</c:v>
                </c:pt>
                <c:pt idx="3">
                  <c:v>1333333.33333333</c:v>
                </c:pt>
                <c:pt idx="4">
                  <c:v>1333333.33333333</c:v>
                </c:pt>
                <c:pt idx="5">
                  <c:v>1333333.33333333</c:v>
                </c:pt>
                <c:pt idx="6">
                  <c:v>1333333.33333333</c:v>
                </c:pt>
                <c:pt idx="7">
                  <c:v>1333333.33333333</c:v>
                </c:pt>
                <c:pt idx="8">
                  <c:v>1333333.33333333</c:v>
                </c:pt>
                <c:pt idx="9">
                  <c:v>2000000</c:v>
                </c:pt>
                <c:pt idx="10">
                  <c:v>2000000</c:v>
                </c:pt>
                <c:pt idx="11">
                  <c:v>2000000</c:v>
                </c:pt>
                <c:pt idx="12">
                  <c:v>3158333.33333333</c:v>
                </c:pt>
                <c:pt idx="13">
                  <c:v>3383333.33333333</c:v>
                </c:pt>
                <c:pt idx="14">
                  <c:v>3608333.33333333</c:v>
                </c:pt>
                <c:pt idx="15">
                  <c:v>4566666.66666667</c:v>
                </c:pt>
                <c:pt idx="16">
                  <c:v>4791666.66666667</c:v>
                </c:pt>
                <c:pt idx="17">
                  <c:v>5016666.66666667</c:v>
                </c:pt>
                <c:pt idx="18">
                  <c:v>5975000</c:v>
                </c:pt>
                <c:pt idx="19">
                  <c:v>6200000</c:v>
                </c:pt>
                <c:pt idx="20">
                  <c:v>6425000</c:v>
                </c:pt>
                <c:pt idx="21">
                  <c:v>8116666.66666667</c:v>
                </c:pt>
                <c:pt idx="22">
                  <c:v>8341666.66666667</c:v>
                </c:pt>
                <c:pt idx="23">
                  <c:v>8566666.66666667</c:v>
                </c:pt>
                <c:pt idx="24">
                  <c:v>11846666.6666667</c:v>
                </c:pt>
                <c:pt idx="25">
                  <c:v>12791666.6666667</c:v>
                </c:pt>
                <c:pt idx="26">
                  <c:v>13736666.6666667</c:v>
                </c:pt>
                <c:pt idx="27">
                  <c:v>16295000</c:v>
                </c:pt>
                <c:pt idx="28">
                  <c:v>17240000</c:v>
                </c:pt>
                <c:pt idx="29">
                  <c:v>18185000</c:v>
                </c:pt>
                <c:pt idx="30">
                  <c:v>21550000</c:v>
                </c:pt>
                <c:pt idx="31">
                  <c:v>22495000</c:v>
                </c:pt>
                <c:pt idx="32">
                  <c:v>23440000</c:v>
                </c:pt>
                <c:pt idx="33">
                  <c:v>26805000</c:v>
                </c:pt>
                <c:pt idx="34">
                  <c:v>27750000</c:v>
                </c:pt>
                <c:pt idx="35">
                  <c:v>28695000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072141"/>
        <c:axId val="22767540"/>
      </c:lineChart>
      <c:catAx>
        <c:axId val="890721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67540"/>
        <c:crosses val="autoZero"/>
        <c:auto val="1"/>
        <c:lblAlgn val="ctr"/>
        <c:lblOffset val="100"/>
        <c:noMultiLvlLbl val="0"/>
      </c:catAx>
      <c:valAx>
        <c:axId val="2276754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PKR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721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Net Profit (PKR)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2e7d32"/>
            </a:solidFill>
            <a:ln w="2808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'Income Statement'!$B$6:$AK$6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'Income Statement'!$B$22:$AK$22</c:f>
              <c:numCache>
                <c:formatCode>#,##0;\(#,##0\)</c:formatCode>
                <c:ptCount val="36"/>
                <c:pt idx="0">
                  <c:v>-877777.777777778</c:v>
                </c:pt>
                <c:pt idx="1">
                  <c:v>-877777.777777778</c:v>
                </c:pt>
                <c:pt idx="2">
                  <c:v>-877777.777777778</c:v>
                </c:pt>
                <c:pt idx="3">
                  <c:v>-327777.777777778</c:v>
                </c:pt>
                <c:pt idx="4">
                  <c:v>-327777.777777778</c:v>
                </c:pt>
                <c:pt idx="5">
                  <c:v>-327777.777777778</c:v>
                </c:pt>
                <c:pt idx="6">
                  <c:v>-327777.777777778</c:v>
                </c:pt>
                <c:pt idx="7">
                  <c:v>-327777.777777778</c:v>
                </c:pt>
                <c:pt idx="8">
                  <c:v>-327777.777777778</c:v>
                </c:pt>
                <c:pt idx="9">
                  <c:v>157777.777777778</c:v>
                </c:pt>
                <c:pt idx="10">
                  <c:v>157777.777777778</c:v>
                </c:pt>
                <c:pt idx="11">
                  <c:v>157777.777777778</c:v>
                </c:pt>
                <c:pt idx="12">
                  <c:v>155056.111111111</c:v>
                </c:pt>
                <c:pt idx="13">
                  <c:v>294926.111111111</c:v>
                </c:pt>
                <c:pt idx="14">
                  <c:v>434796.111111111</c:v>
                </c:pt>
                <c:pt idx="15">
                  <c:v>1005991.11111111</c:v>
                </c:pt>
                <c:pt idx="16">
                  <c:v>1145861.11111111</c:v>
                </c:pt>
                <c:pt idx="17">
                  <c:v>1285731.11111111</c:v>
                </c:pt>
                <c:pt idx="18">
                  <c:v>1856926.11111111</c:v>
                </c:pt>
                <c:pt idx="19">
                  <c:v>1996796.11111111</c:v>
                </c:pt>
                <c:pt idx="20">
                  <c:v>2136666.11111111</c:v>
                </c:pt>
                <c:pt idx="21">
                  <c:v>3139186.11111111</c:v>
                </c:pt>
                <c:pt idx="22">
                  <c:v>3279056.11111111</c:v>
                </c:pt>
                <c:pt idx="23">
                  <c:v>3418926.11111111</c:v>
                </c:pt>
                <c:pt idx="24">
                  <c:v>4579787.94444445</c:v>
                </c:pt>
                <c:pt idx="25">
                  <c:v>5167241.94444445</c:v>
                </c:pt>
                <c:pt idx="26">
                  <c:v>5754695.94444445</c:v>
                </c:pt>
                <c:pt idx="27">
                  <c:v>7294792.44444445</c:v>
                </c:pt>
                <c:pt idx="28">
                  <c:v>7882246.44444445</c:v>
                </c:pt>
                <c:pt idx="29">
                  <c:v>8469700.44444444</c:v>
                </c:pt>
                <c:pt idx="30">
                  <c:v>10486118.1944444</c:v>
                </c:pt>
                <c:pt idx="31">
                  <c:v>11073572.1944444</c:v>
                </c:pt>
                <c:pt idx="32">
                  <c:v>11661026.1944444</c:v>
                </c:pt>
                <c:pt idx="33">
                  <c:v>13677443.9444444</c:v>
                </c:pt>
                <c:pt idx="34">
                  <c:v>14264897.9444444</c:v>
                </c:pt>
                <c:pt idx="35">
                  <c:v>14852351.9444444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427312"/>
        <c:axId val="11763891"/>
      </c:lineChart>
      <c:catAx>
        <c:axId val="424273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63891"/>
        <c:crosses val="autoZero"/>
        <c:auto val="1"/>
        <c:lblAlgn val="ctr"/>
        <c:lblOffset val="100"/>
        <c:noMultiLvlLbl val="0"/>
      </c:catAx>
      <c:valAx>
        <c:axId val="1176389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PKR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273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Cash Balance (PKR)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c00000"/>
            </a:solidFill>
            <a:ln w="2808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'Income Statement'!$B$6:$AK$6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'Cashflow Statement'!$B$25:$AK$25</c:f>
              <c:numCache>
                <c:formatCode>#,##0;\(#,##0\)</c:formatCode>
                <c:ptCount val="36"/>
                <c:pt idx="0">
                  <c:v>5566666.66666667</c:v>
                </c:pt>
                <c:pt idx="1">
                  <c:v>4766666.66666667</c:v>
                </c:pt>
                <c:pt idx="2">
                  <c:v>3966666.66666667</c:v>
                </c:pt>
                <c:pt idx="3">
                  <c:v>3083333.33333333</c:v>
                </c:pt>
                <c:pt idx="4">
                  <c:v>2833333.33333333</c:v>
                </c:pt>
                <c:pt idx="5">
                  <c:v>2583333.33333333</c:v>
                </c:pt>
                <c:pt idx="6">
                  <c:v>2333333.33333333</c:v>
                </c:pt>
                <c:pt idx="7">
                  <c:v>2083333.33333333</c:v>
                </c:pt>
                <c:pt idx="8">
                  <c:v>1833333.33333333</c:v>
                </c:pt>
                <c:pt idx="9">
                  <c:v>1435555.55555556</c:v>
                </c:pt>
                <c:pt idx="10">
                  <c:v>1671111.11111111</c:v>
                </c:pt>
                <c:pt idx="11">
                  <c:v>1906666.66666667</c:v>
                </c:pt>
                <c:pt idx="12">
                  <c:v>298667.222222222</c:v>
                </c:pt>
                <c:pt idx="13">
                  <c:v>473871.111111111</c:v>
                </c:pt>
                <c:pt idx="14">
                  <c:v>788945</c:v>
                </c:pt>
                <c:pt idx="15">
                  <c:v>976880.555555556</c:v>
                </c:pt>
                <c:pt idx="16">
                  <c:v>2003019.44444444</c:v>
                </c:pt>
                <c:pt idx="17">
                  <c:v>3169028.33333333</c:v>
                </c:pt>
                <c:pt idx="18">
                  <c:v>4207898.88888889</c:v>
                </c:pt>
                <c:pt idx="19">
                  <c:v>6084972.77777778</c:v>
                </c:pt>
                <c:pt idx="20">
                  <c:v>8101916.66666667</c:v>
                </c:pt>
                <c:pt idx="21">
                  <c:v>9724713.88888889</c:v>
                </c:pt>
                <c:pt idx="22">
                  <c:v>12884047.7777778</c:v>
                </c:pt>
                <c:pt idx="23">
                  <c:v>16183251.6666667</c:v>
                </c:pt>
                <c:pt idx="24">
                  <c:v>16971984.0555556</c:v>
                </c:pt>
                <c:pt idx="25">
                  <c:v>21341670.4444444</c:v>
                </c:pt>
                <c:pt idx="26">
                  <c:v>26298810.8333333</c:v>
                </c:pt>
                <c:pt idx="27">
                  <c:v>31256214.3888889</c:v>
                </c:pt>
                <c:pt idx="28">
                  <c:v>38340905.2777778</c:v>
                </c:pt>
                <c:pt idx="29">
                  <c:v>46013050.1666667</c:v>
                </c:pt>
                <c:pt idx="30">
                  <c:v>53391862.8055556</c:v>
                </c:pt>
                <c:pt idx="31">
                  <c:v>63667879.4444445</c:v>
                </c:pt>
                <c:pt idx="32">
                  <c:v>74531350.0833333</c:v>
                </c:pt>
                <c:pt idx="33">
                  <c:v>85101488.4722222</c:v>
                </c:pt>
                <c:pt idx="34">
                  <c:v>98568830.8611111</c:v>
                </c:pt>
                <c:pt idx="35">
                  <c:v>112623627.25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458122"/>
        <c:axId val="27064010"/>
      </c:lineChart>
      <c:catAx>
        <c:axId val="244581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64010"/>
        <c:crosses val="autoZero"/>
        <c:auto val="1"/>
        <c:lblAlgn val="ctr"/>
        <c:lblOffset val="100"/>
        <c:noMultiLvlLbl val="0"/>
      </c:catAx>
      <c:valAx>
        <c:axId val="270640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PKR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581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4</xdr:col>
      <xdr:colOff>191160</xdr:colOff>
      <xdr:row>34</xdr:row>
      <xdr:rowOff>43200</xdr:rowOff>
    </xdr:to>
    <xdr:graphicFrame>
      <xdr:nvGraphicFramePr>
        <xdr:cNvPr id="0" name="Chart 1"/>
        <xdr:cNvGraphicFramePr/>
      </xdr:nvGraphicFramePr>
      <xdr:xfrm>
        <a:off x="0" y="439092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4</xdr:col>
      <xdr:colOff>191160</xdr:colOff>
      <xdr:row>49</xdr:row>
      <xdr:rowOff>43200</xdr:rowOff>
    </xdr:to>
    <xdr:graphicFrame>
      <xdr:nvGraphicFramePr>
        <xdr:cNvPr id="1" name="Chart 2"/>
        <xdr:cNvGraphicFramePr/>
      </xdr:nvGraphicFramePr>
      <xdr:xfrm>
        <a:off x="0" y="724860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51</xdr:row>
      <xdr:rowOff>0</xdr:rowOff>
    </xdr:from>
    <xdr:to>
      <xdr:col>4</xdr:col>
      <xdr:colOff>191160</xdr:colOff>
      <xdr:row>64</xdr:row>
      <xdr:rowOff>43200</xdr:rowOff>
    </xdr:to>
    <xdr:graphicFrame>
      <xdr:nvGraphicFramePr>
        <xdr:cNvPr id="2" name="Chart 3"/>
        <xdr:cNvGraphicFramePr/>
      </xdr:nvGraphicFramePr>
      <xdr:xfrm>
        <a:off x="0" y="1010592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8" min="2" style="1" width="1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/>
      <c r="C4" s="5"/>
      <c r="D4" s="5"/>
      <c r="E4" s="5"/>
      <c r="F4" s="5"/>
      <c r="G4" s="5"/>
      <c r="H4" s="5"/>
    </row>
    <row r="5" customFormat="false" ht="27.75" hidden="false" customHeight="true" outlineLevel="0" collapsed="false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</row>
    <row r="6" customFormat="false" ht="25.5" hidden="false" customHeight="true" outlineLevel="0" collapsed="false">
      <c r="A6" s="7" t="n">
        <f aca="false">SUM('Income Statement'!B8:AK8)</f>
        <v>324980000</v>
      </c>
      <c r="B6" s="7" t="n">
        <f aca="false">SUM('Income Statement'!B22:AK22)</f>
        <v>131187127.25</v>
      </c>
      <c r="C6" s="7" t="n">
        <f aca="false">'Cashflow Statement'!AK25</f>
        <v>112623627.25</v>
      </c>
      <c r="D6" s="8" t="n">
        <f aca="false">COUNTIF('Income Statement'!B20:AK20,"&lt;=0")+1</f>
        <v>10</v>
      </c>
      <c r="E6" s="7" t="n">
        <f aca="false">MIN('Cashflow Statement'!B25:AK25)</f>
        <v>298667.222222222</v>
      </c>
      <c r="F6" s="7" t="n">
        <f aca="false">Assumptions!AK13</f>
        <v>18</v>
      </c>
      <c r="G6" s="7" t="n">
        <f aca="false">Assumptions!AK19</f>
        <v>300</v>
      </c>
    </row>
    <row r="9" customFormat="false" ht="15" hidden="false" customHeight="true" outlineLevel="0" collapsed="false">
      <c r="A9" s="4" t="s">
        <v>10</v>
      </c>
      <c r="B9" s="5"/>
      <c r="C9" s="5"/>
      <c r="D9" s="5"/>
    </row>
    <row r="10" customFormat="false" ht="18" hidden="false" customHeight="true" outlineLevel="0" collapsed="false">
      <c r="A10" s="9" t="s">
        <v>11</v>
      </c>
      <c r="B10" s="9" t="s">
        <v>12</v>
      </c>
      <c r="C10" s="9" t="s">
        <v>13</v>
      </c>
      <c r="D10" s="9" t="s">
        <v>14</v>
      </c>
    </row>
    <row r="11" customFormat="false" ht="15" hidden="false" customHeight="true" outlineLevel="0" collapsed="false">
      <c r="A11" s="10" t="s">
        <v>15</v>
      </c>
      <c r="B11" s="11" t="n">
        <f aca="false">SUM('Income Statement'!B8:M8)</f>
        <v>16000000</v>
      </c>
      <c r="C11" s="11" t="n">
        <f aca="false">SUM('Income Statement'!N8:Y8)</f>
        <v>68150000</v>
      </c>
      <c r="D11" s="11" t="n">
        <f aca="false">SUM('Income Statement'!Z8:AK8)</f>
        <v>240830000</v>
      </c>
    </row>
    <row r="12" customFormat="false" ht="15" hidden="false" customHeight="true" outlineLevel="0" collapsed="false">
      <c r="A12" s="10" t="s">
        <v>16</v>
      </c>
      <c r="B12" s="11" t="n">
        <f aca="false">SUM('Income Statement'!B9:M9)</f>
        <v>1200000</v>
      </c>
      <c r="C12" s="11" t="n">
        <f aca="false">SUM('Income Statement'!N9:Y9)</f>
        <v>4402500</v>
      </c>
      <c r="D12" s="11" t="n">
        <f aca="false">SUM('Income Statement'!Z9:AK9)</f>
        <v>13883625</v>
      </c>
    </row>
    <row r="13" customFormat="false" ht="15" hidden="false" customHeight="true" outlineLevel="0" collapsed="false">
      <c r="A13" s="10" t="s">
        <v>17</v>
      </c>
      <c r="B13" s="11" t="n">
        <f aca="false">SUM('Income Statement'!B10:M10)</f>
        <v>14800000</v>
      </c>
      <c r="C13" s="11" t="n">
        <f aca="false">SUM('Income Statement'!N10:Y10)</f>
        <v>63747500</v>
      </c>
      <c r="D13" s="11" t="n">
        <f aca="false">SUM('Income Statement'!Z10:AK10)</f>
        <v>226946375</v>
      </c>
    </row>
    <row r="14" customFormat="false" ht="15" hidden="false" customHeight="true" outlineLevel="0" collapsed="false">
      <c r="A14" s="10" t="s">
        <v>18</v>
      </c>
      <c r="B14" s="11" t="n">
        <f aca="false">SUM('Income Statement'!B18:M18)</f>
        <v>18733333.3333333</v>
      </c>
      <c r="C14" s="11" t="n">
        <f aca="false">SUM('Income Statement'!N18:Y18)</f>
        <v>35367333.3333333</v>
      </c>
      <c r="D14" s="11" t="n">
        <f aca="false">SUM('Income Statement'!Z18:AK18)</f>
        <v>64743733.3333333</v>
      </c>
    </row>
    <row r="15" customFormat="false" ht="15" hidden="false" customHeight="true" outlineLevel="0" collapsed="false">
      <c r="A15" s="10" t="s">
        <v>19</v>
      </c>
      <c r="B15" s="11" t="n">
        <f aca="false">SUM('Income Statement'!B22:M22)</f>
        <v>-4126666.66666667</v>
      </c>
      <c r="C15" s="11" t="n">
        <f aca="false">SUM('Income Statement'!N22:Y22)</f>
        <v>20149918.3333333</v>
      </c>
      <c r="D15" s="11" t="n">
        <f aca="false">SUM('Income Statement'!Z22:AK22)</f>
        <v>115163875.583333</v>
      </c>
    </row>
    <row r="16" customFormat="false" ht="15" hidden="false" customHeight="true" outlineLevel="0" collapsed="false">
      <c r="A16" s="10" t="s">
        <v>20</v>
      </c>
      <c r="B16" s="11" t="n">
        <f aca="false">'Cashflow Statement'!M25</f>
        <v>1906666.66666667</v>
      </c>
      <c r="C16" s="11" t="n">
        <f aca="false">'Cashflow Statement'!Y25</f>
        <v>16183251.6666667</v>
      </c>
      <c r="D16" s="11" t="n">
        <f aca="false">'Cashflow Statement'!AK25</f>
        <v>112623627.25</v>
      </c>
    </row>
    <row r="17" customFormat="false" ht="15" hidden="false" customHeight="true" outlineLevel="0" collapsed="false">
      <c r="A17" s="10" t="s">
        <v>21</v>
      </c>
      <c r="B17" s="11" t="n">
        <f aca="false">Assumptions!M13</f>
        <v>3</v>
      </c>
      <c r="C17" s="11" t="n">
        <f aca="false">Assumptions!Y13</f>
        <v>8</v>
      </c>
      <c r="D17" s="11" t="n">
        <f aca="false">Assumptions!AK13</f>
        <v>18</v>
      </c>
    </row>
    <row r="18" customFormat="false" ht="15" hidden="false" customHeight="true" outlineLevel="0" collapsed="false">
      <c r="A18" s="10" t="s">
        <v>22</v>
      </c>
      <c r="B18" s="11" t="n">
        <f aca="false">Assumptions!M19</f>
        <v>0</v>
      </c>
      <c r="C18" s="11" t="n">
        <f aca="false">Assumptions!Y19</f>
        <v>60</v>
      </c>
      <c r="D18" s="11" t="n">
        <f aca="false">Assumptions!AK19</f>
        <v>300</v>
      </c>
    </row>
    <row r="21" customFormat="false" ht="15" hidden="false" customHeight="true" outlineLevel="0" collapsed="false">
      <c r="A21" s="4" t="s">
        <v>23</v>
      </c>
      <c r="B21" s="5"/>
      <c r="C21" s="5"/>
      <c r="D21" s="5"/>
      <c r="E21" s="5"/>
      <c r="F21" s="5"/>
      <c r="G21" s="5"/>
      <c r="H2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37" min="2" style="1" width="11"/>
  </cols>
  <sheetData>
    <row r="1" customFormat="false" ht="17.25" hidden="false" customHeight="true" outlineLevel="0" collapsed="false">
      <c r="A1" s="12" t="s">
        <v>24</v>
      </c>
    </row>
    <row r="2" customFormat="false" ht="15" hidden="false" customHeight="true" outlineLevel="0" collapsed="false">
      <c r="A2" s="3" t="s">
        <v>25</v>
      </c>
    </row>
    <row r="3" customFormat="false" ht="15" hidden="false" customHeight="true" outlineLevel="0" collapsed="false">
      <c r="A3" s="13" t="s">
        <v>26</v>
      </c>
    </row>
    <row r="5" customFormat="false" ht="15" hidden="false" customHeight="true" outlineLevel="0" collapsed="false">
      <c r="A5" s="14" t="s">
        <v>27</v>
      </c>
      <c r="B5" s="15" t="n">
        <v>1</v>
      </c>
      <c r="C5" s="15" t="n">
        <v>1</v>
      </c>
      <c r="D5" s="15" t="n">
        <v>1</v>
      </c>
      <c r="E5" s="15" t="n">
        <v>1</v>
      </c>
      <c r="F5" s="15" t="n">
        <v>1</v>
      </c>
      <c r="G5" s="15" t="n">
        <v>1</v>
      </c>
      <c r="H5" s="15" t="n">
        <v>1</v>
      </c>
      <c r="I5" s="15" t="n">
        <v>1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2</v>
      </c>
      <c r="O5" s="15" t="n">
        <v>2</v>
      </c>
      <c r="P5" s="15" t="n">
        <v>2</v>
      </c>
      <c r="Q5" s="15" t="n">
        <v>2</v>
      </c>
      <c r="R5" s="15" t="n">
        <v>2</v>
      </c>
      <c r="S5" s="15" t="n">
        <v>2</v>
      </c>
      <c r="T5" s="15" t="n">
        <v>2</v>
      </c>
      <c r="U5" s="15" t="n">
        <v>2</v>
      </c>
      <c r="V5" s="15" t="n">
        <v>2</v>
      </c>
      <c r="W5" s="15" t="n">
        <v>2</v>
      </c>
      <c r="X5" s="15" t="n">
        <v>2</v>
      </c>
      <c r="Y5" s="15" t="n">
        <v>2</v>
      </c>
      <c r="Z5" s="15" t="n">
        <v>3</v>
      </c>
      <c r="AA5" s="15" t="n">
        <v>3</v>
      </c>
      <c r="AB5" s="15" t="n">
        <v>3</v>
      </c>
      <c r="AC5" s="15" t="n">
        <v>3</v>
      </c>
      <c r="AD5" s="15" t="n">
        <v>3</v>
      </c>
      <c r="AE5" s="15" t="n">
        <v>3</v>
      </c>
      <c r="AF5" s="15" t="n">
        <v>3</v>
      </c>
      <c r="AG5" s="15" t="n">
        <v>3</v>
      </c>
      <c r="AH5" s="15" t="n">
        <v>3</v>
      </c>
      <c r="AI5" s="15" t="n">
        <v>3</v>
      </c>
      <c r="AJ5" s="15" t="n">
        <v>3</v>
      </c>
      <c r="AK5" s="15" t="n">
        <v>3</v>
      </c>
    </row>
    <row r="6" customFormat="false" ht="15" hidden="false" customHeight="true" outlineLevel="0" collapsed="false">
      <c r="A6" s="14" t="s">
        <v>28</v>
      </c>
      <c r="B6" s="15" t="n">
        <v>1</v>
      </c>
      <c r="C6" s="15" t="n">
        <v>2</v>
      </c>
      <c r="D6" s="15" t="n">
        <v>3</v>
      </c>
      <c r="E6" s="15" t="n">
        <v>4</v>
      </c>
      <c r="F6" s="15" t="n">
        <v>5</v>
      </c>
      <c r="G6" s="15" t="n">
        <v>6</v>
      </c>
      <c r="H6" s="15" t="n">
        <v>7</v>
      </c>
      <c r="I6" s="15" t="n">
        <v>8</v>
      </c>
      <c r="J6" s="15" t="n">
        <v>9</v>
      </c>
      <c r="K6" s="15" t="n">
        <v>10</v>
      </c>
      <c r="L6" s="15" t="n">
        <v>11</v>
      </c>
      <c r="M6" s="15" t="n">
        <v>12</v>
      </c>
      <c r="N6" s="15" t="n">
        <v>13</v>
      </c>
      <c r="O6" s="15" t="n">
        <v>14</v>
      </c>
      <c r="P6" s="15" t="n">
        <v>15</v>
      </c>
      <c r="Q6" s="15" t="n">
        <v>16</v>
      </c>
      <c r="R6" s="15" t="n">
        <v>17</v>
      </c>
      <c r="S6" s="15" t="n">
        <v>18</v>
      </c>
      <c r="T6" s="15" t="n">
        <v>19</v>
      </c>
      <c r="U6" s="15" t="n">
        <v>20</v>
      </c>
      <c r="V6" s="15" t="n">
        <v>21</v>
      </c>
      <c r="W6" s="15" t="n">
        <v>22</v>
      </c>
      <c r="X6" s="15" t="n">
        <v>23</v>
      </c>
      <c r="Y6" s="15" t="n">
        <v>24</v>
      </c>
      <c r="Z6" s="15" t="n">
        <v>25</v>
      </c>
      <c r="AA6" s="15" t="n">
        <v>26</v>
      </c>
      <c r="AB6" s="15" t="n">
        <v>27</v>
      </c>
      <c r="AC6" s="15" t="n">
        <v>28</v>
      </c>
      <c r="AD6" s="15" t="n">
        <v>29</v>
      </c>
      <c r="AE6" s="15" t="n">
        <v>30</v>
      </c>
      <c r="AF6" s="15" t="n">
        <v>31</v>
      </c>
      <c r="AG6" s="15" t="n">
        <v>32</v>
      </c>
      <c r="AH6" s="15" t="n">
        <v>33</v>
      </c>
      <c r="AI6" s="15" t="n">
        <v>34</v>
      </c>
      <c r="AJ6" s="15" t="n">
        <v>35</v>
      </c>
      <c r="AK6" s="15" t="n">
        <v>36</v>
      </c>
    </row>
    <row r="9" customFormat="false" ht="15" hidden="false" customHeight="true" outlineLevel="0" collapsed="false">
      <c r="A9" s="14" t="s">
        <v>29</v>
      </c>
      <c r="B9" s="16" t="n">
        <v>280</v>
      </c>
      <c r="C9" s="16" t="n">
        <v>280</v>
      </c>
      <c r="D9" s="16" t="n">
        <v>280</v>
      </c>
      <c r="E9" s="16" t="n">
        <v>280</v>
      </c>
      <c r="F9" s="16" t="n">
        <v>280</v>
      </c>
      <c r="G9" s="16" t="n">
        <v>280</v>
      </c>
      <c r="H9" s="16" t="n">
        <v>280</v>
      </c>
      <c r="I9" s="16" t="n">
        <v>280</v>
      </c>
      <c r="J9" s="16" t="n">
        <v>280</v>
      </c>
      <c r="K9" s="16" t="n">
        <v>280</v>
      </c>
      <c r="L9" s="16" t="n">
        <v>280</v>
      </c>
      <c r="M9" s="16" t="n">
        <v>280</v>
      </c>
      <c r="N9" s="16" t="n">
        <v>280</v>
      </c>
      <c r="O9" s="16" t="n">
        <v>280</v>
      </c>
      <c r="P9" s="16" t="n">
        <v>280</v>
      </c>
      <c r="Q9" s="16" t="n">
        <v>280</v>
      </c>
      <c r="R9" s="16" t="n">
        <v>280</v>
      </c>
      <c r="S9" s="16" t="n">
        <v>280</v>
      </c>
      <c r="T9" s="16" t="n">
        <v>280</v>
      </c>
      <c r="U9" s="16" t="n">
        <v>280</v>
      </c>
      <c r="V9" s="16" t="n">
        <v>280</v>
      </c>
      <c r="W9" s="16" t="n">
        <v>280</v>
      </c>
      <c r="X9" s="16" t="n">
        <v>280</v>
      </c>
      <c r="Y9" s="16" t="n">
        <v>280</v>
      </c>
      <c r="Z9" s="16" t="n">
        <v>280</v>
      </c>
      <c r="AA9" s="16" t="n">
        <v>280</v>
      </c>
      <c r="AB9" s="16" t="n">
        <v>280</v>
      </c>
      <c r="AC9" s="16" t="n">
        <v>280</v>
      </c>
      <c r="AD9" s="16" t="n">
        <v>280</v>
      </c>
      <c r="AE9" s="16" t="n">
        <v>280</v>
      </c>
      <c r="AF9" s="16" t="n">
        <v>280</v>
      </c>
      <c r="AG9" s="16" t="n">
        <v>280</v>
      </c>
      <c r="AH9" s="16" t="n">
        <v>280</v>
      </c>
      <c r="AI9" s="16" t="n">
        <v>280</v>
      </c>
      <c r="AJ9" s="16" t="n">
        <v>280</v>
      </c>
      <c r="AK9" s="16" t="n">
        <v>280</v>
      </c>
    </row>
    <row r="11" customFormat="false" ht="15" hidden="false" customHeight="true" outlineLevel="0" collapsed="false">
      <c r="A11" s="4" t="s">
        <v>30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customFormat="false" ht="15" hidden="false" customHeight="true" outlineLevel="0" collapsed="false">
      <c r="A12" s="10" t="s">
        <v>31</v>
      </c>
      <c r="B12" s="17" t="n">
        <v>1</v>
      </c>
      <c r="C12" s="17" t="n">
        <v>0</v>
      </c>
      <c r="D12" s="17" t="n">
        <v>0</v>
      </c>
      <c r="E12" s="17" t="n">
        <v>1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1</v>
      </c>
      <c r="L12" s="17" t="n">
        <v>0</v>
      </c>
      <c r="M12" s="17" t="n">
        <v>0</v>
      </c>
      <c r="N12" s="17" t="n">
        <v>1</v>
      </c>
      <c r="O12" s="17" t="n">
        <v>0</v>
      </c>
      <c r="P12" s="17" t="n">
        <v>0</v>
      </c>
      <c r="Q12" s="17" t="n">
        <v>1</v>
      </c>
      <c r="R12" s="17" t="n">
        <v>0</v>
      </c>
      <c r="S12" s="17" t="n">
        <v>0</v>
      </c>
      <c r="T12" s="17" t="n">
        <v>1</v>
      </c>
      <c r="U12" s="17" t="n">
        <v>0</v>
      </c>
      <c r="V12" s="17" t="n">
        <v>0</v>
      </c>
      <c r="W12" s="17" t="n">
        <v>2</v>
      </c>
      <c r="X12" s="17" t="n">
        <v>0</v>
      </c>
      <c r="Y12" s="17" t="n">
        <v>0</v>
      </c>
      <c r="Z12" s="17" t="n">
        <v>2</v>
      </c>
      <c r="AA12" s="17" t="n">
        <v>0</v>
      </c>
      <c r="AB12" s="17" t="n">
        <v>0</v>
      </c>
      <c r="AC12" s="17" t="n">
        <v>2</v>
      </c>
      <c r="AD12" s="17" t="n">
        <v>0</v>
      </c>
      <c r="AE12" s="17" t="n">
        <v>0</v>
      </c>
      <c r="AF12" s="17" t="n">
        <v>3</v>
      </c>
      <c r="AG12" s="17" t="n">
        <v>0</v>
      </c>
      <c r="AH12" s="17" t="n">
        <v>0</v>
      </c>
      <c r="AI12" s="17" t="n">
        <v>3</v>
      </c>
      <c r="AJ12" s="17" t="n">
        <v>0</v>
      </c>
      <c r="AK12" s="17" t="n">
        <v>0</v>
      </c>
    </row>
    <row r="13" customFormat="false" ht="15" hidden="false" customHeight="true" outlineLevel="0" collapsed="false">
      <c r="A13" s="10" t="s">
        <v>32</v>
      </c>
      <c r="B13" s="18" t="n">
        <f aca="false">B12</f>
        <v>1</v>
      </c>
      <c r="C13" s="18" t="n">
        <f aca="false">B13+C12</f>
        <v>1</v>
      </c>
      <c r="D13" s="18" t="n">
        <f aca="false">C13+D12</f>
        <v>1</v>
      </c>
      <c r="E13" s="18" t="n">
        <f aca="false">D13+E12</f>
        <v>2</v>
      </c>
      <c r="F13" s="18" t="n">
        <f aca="false">E13+F12</f>
        <v>2</v>
      </c>
      <c r="G13" s="18" t="n">
        <f aca="false">F13+G12</f>
        <v>2</v>
      </c>
      <c r="H13" s="18" t="n">
        <f aca="false">G13+H12</f>
        <v>2</v>
      </c>
      <c r="I13" s="18" t="n">
        <f aca="false">H13+I12</f>
        <v>2</v>
      </c>
      <c r="J13" s="18" t="n">
        <f aca="false">I13+J12</f>
        <v>2</v>
      </c>
      <c r="K13" s="18" t="n">
        <f aca="false">J13+K12</f>
        <v>3</v>
      </c>
      <c r="L13" s="18" t="n">
        <f aca="false">K13+L12</f>
        <v>3</v>
      </c>
      <c r="M13" s="18" t="n">
        <f aca="false">L13+M12</f>
        <v>3</v>
      </c>
      <c r="N13" s="18" t="n">
        <f aca="false">M13+N12</f>
        <v>4</v>
      </c>
      <c r="O13" s="18" t="n">
        <f aca="false">N13+O12</f>
        <v>4</v>
      </c>
      <c r="P13" s="18" t="n">
        <f aca="false">O13+P12</f>
        <v>4</v>
      </c>
      <c r="Q13" s="18" t="n">
        <f aca="false">P13+Q12</f>
        <v>5</v>
      </c>
      <c r="R13" s="18" t="n">
        <f aca="false">Q13+R12</f>
        <v>5</v>
      </c>
      <c r="S13" s="18" t="n">
        <f aca="false">R13+S12</f>
        <v>5</v>
      </c>
      <c r="T13" s="18" t="n">
        <f aca="false">S13+T12</f>
        <v>6</v>
      </c>
      <c r="U13" s="18" t="n">
        <f aca="false">T13+U12</f>
        <v>6</v>
      </c>
      <c r="V13" s="18" t="n">
        <f aca="false">U13+V12</f>
        <v>6</v>
      </c>
      <c r="W13" s="18" t="n">
        <f aca="false">V13+W12</f>
        <v>8</v>
      </c>
      <c r="X13" s="18" t="n">
        <f aca="false">W13+X12</f>
        <v>8</v>
      </c>
      <c r="Y13" s="18" t="n">
        <f aca="false">X13+Y12</f>
        <v>8</v>
      </c>
      <c r="Z13" s="18" t="n">
        <f aca="false">Y13+Z12</f>
        <v>10</v>
      </c>
      <c r="AA13" s="18" t="n">
        <f aca="false">Z13+AA12</f>
        <v>10</v>
      </c>
      <c r="AB13" s="18" t="n">
        <f aca="false">AA13+AB12</f>
        <v>10</v>
      </c>
      <c r="AC13" s="18" t="n">
        <f aca="false">AB13+AC12</f>
        <v>12</v>
      </c>
      <c r="AD13" s="18" t="n">
        <f aca="false">AC13+AD12</f>
        <v>12</v>
      </c>
      <c r="AE13" s="18" t="n">
        <f aca="false">AD13+AE12</f>
        <v>12</v>
      </c>
      <c r="AF13" s="18" t="n">
        <f aca="false">AE13+AF12</f>
        <v>15</v>
      </c>
      <c r="AG13" s="18" t="n">
        <f aca="false">AF13+AG12</f>
        <v>15</v>
      </c>
      <c r="AH13" s="18" t="n">
        <f aca="false">AG13+AH12</f>
        <v>15</v>
      </c>
      <c r="AI13" s="18" t="n">
        <f aca="false">AH13+AI12</f>
        <v>18</v>
      </c>
      <c r="AJ13" s="18" t="n">
        <f aca="false">AI13+AJ12</f>
        <v>18</v>
      </c>
      <c r="AK13" s="18" t="n">
        <f aca="false">AJ13+AK12</f>
        <v>18</v>
      </c>
    </row>
    <row r="14" customFormat="false" ht="15" hidden="false" customHeight="true" outlineLevel="0" collapsed="false">
      <c r="A14" s="14" t="s">
        <v>33</v>
      </c>
      <c r="B14" s="16" t="n">
        <v>8000000</v>
      </c>
      <c r="C14" s="16" t="n">
        <v>8000000</v>
      </c>
      <c r="D14" s="16" t="n">
        <v>8000000</v>
      </c>
      <c r="E14" s="16" t="n">
        <v>8000000</v>
      </c>
      <c r="F14" s="16" t="n">
        <v>8000000</v>
      </c>
      <c r="G14" s="16" t="n">
        <v>8000000</v>
      </c>
      <c r="H14" s="16" t="n">
        <v>8000000</v>
      </c>
      <c r="I14" s="16" t="n">
        <v>8000000</v>
      </c>
      <c r="J14" s="16" t="n">
        <v>8000000</v>
      </c>
      <c r="K14" s="16" t="n">
        <v>8000000</v>
      </c>
      <c r="L14" s="16" t="n">
        <v>8000000</v>
      </c>
      <c r="M14" s="16" t="n">
        <v>8000000</v>
      </c>
      <c r="N14" s="16" t="n">
        <v>8800000</v>
      </c>
      <c r="O14" s="16" t="n">
        <v>8800000</v>
      </c>
      <c r="P14" s="16" t="n">
        <v>8800000</v>
      </c>
      <c r="Q14" s="16" t="n">
        <v>8800000</v>
      </c>
      <c r="R14" s="16" t="n">
        <v>8800000</v>
      </c>
      <c r="S14" s="16" t="n">
        <v>8800000</v>
      </c>
      <c r="T14" s="16" t="n">
        <v>8800000</v>
      </c>
      <c r="U14" s="16" t="n">
        <v>8800000</v>
      </c>
      <c r="V14" s="16" t="n">
        <v>8800000</v>
      </c>
      <c r="W14" s="16" t="n">
        <v>8800000</v>
      </c>
      <c r="X14" s="16" t="n">
        <v>8800000</v>
      </c>
      <c r="Y14" s="16" t="n">
        <v>8800000</v>
      </c>
      <c r="Z14" s="16" t="n">
        <v>9680000</v>
      </c>
      <c r="AA14" s="16" t="n">
        <v>9680000</v>
      </c>
      <c r="AB14" s="16" t="n">
        <v>9680000</v>
      </c>
      <c r="AC14" s="16" t="n">
        <v>9680000</v>
      </c>
      <c r="AD14" s="16" t="n">
        <v>9680000</v>
      </c>
      <c r="AE14" s="16" t="n">
        <v>9680000</v>
      </c>
      <c r="AF14" s="16" t="n">
        <v>9680000</v>
      </c>
      <c r="AG14" s="16" t="n">
        <v>9680000</v>
      </c>
      <c r="AH14" s="16" t="n">
        <v>9680000</v>
      </c>
      <c r="AI14" s="16" t="n">
        <v>9680000</v>
      </c>
      <c r="AJ14" s="16" t="n">
        <v>9680000</v>
      </c>
      <c r="AK14" s="16" t="n">
        <v>9680000</v>
      </c>
    </row>
    <row r="15" customFormat="false" ht="15" hidden="false" customHeight="true" outlineLevel="0" collapsed="false">
      <c r="A15" s="10" t="s">
        <v>34</v>
      </c>
      <c r="B15" s="18" t="n">
        <f aca="false">B13*B14/12</f>
        <v>666666.666666667</v>
      </c>
      <c r="C15" s="18" t="n">
        <f aca="false">C13*C14/12</f>
        <v>666666.666666667</v>
      </c>
      <c r="D15" s="18" t="n">
        <f aca="false">D13*D14/12</f>
        <v>666666.666666667</v>
      </c>
      <c r="E15" s="18" t="n">
        <f aca="false">E13*E14/12</f>
        <v>1333333.33333333</v>
      </c>
      <c r="F15" s="18" t="n">
        <f aca="false">F13*F14/12</f>
        <v>1333333.33333333</v>
      </c>
      <c r="G15" s="18" t="n">
        <f aca="false">G13*G14/12</f>
        <v>1333333.33333333</v>
      </c>
      <c r="H15" s="18" t="n">
        <f aca="false">H13*H14/12</f>
        <v>1333333.33333333</v>
      </c>
      <c r="I15" s="18" t="n">
        <f aca="false">I13*I14/12</f>
        <v>1333333.33333333</v>
      </c>
      <c r="J15" s="18" t="n">
        <f aca="false">J13*J14/12</f>
        <v>1333333.33333333</v>
      </c>
      <c r="K15" s="18" t="n">
        <f aca="false">K13*K14/12</f>
        <v>2000000</v>
      </c>
      <c r="L15" s="18" t="n">
        <f aca="false">L13*L14/12</f>
        <v>2000000</v>
      </c>
      <c r="M15" s="18" t="n">
        <f aca="false">M13*M14/12</f>
        <v>2000000</v>
      </c>
      <c r="N15" s="18" t="n">
        <f aca="false">N13*N14/12</f>
        <v>2933333.33333333</v>
      </c>
      <c r="O15" s="18" t="n">
        <f aca="false">O13*O14/12</f>
        <v>2933333.33333333</v>
      </c>
      <c r="P15" s="18" t="n">
        <f aca="false">P13*P14/12</f>
        <v>2933333.33333333</v>
      </c>
      <c r="Q15" s="18" t="n">
        <f aca="false">Q13*Q14/12</f>
        <v>3666666.66666667</v>
      </c>
      <c r="R15" s="18" t="n">
        <f aca="false">R13*R14/12</f>
        <v>3666666.66666667</v>
      </c>
      <c r="S15" s="18" t="n">
        <f aca="false">S13*S14/12</f>
        <v>3666666.66666667</v>
      </c>
      <c r="T15" s="18" t="n">
        <f aca="false">T13*T14/12</f>
        <v>4400000</v>
      </c>
      <c r="U15" s="18" t="n">
        <f aca="false">U13*U14/12</f>
        <v>4400000</v>
      </c>
      <c r="V15" s="18" t="n">
        <f aca="false">V13*V14/12</f>
        <v>4400000</v>
      </c>
      <c r="W15" s="18" t="n">
        <f aca="false">W13*W14/12</f>
        <v>5866666.66666667</v>
      </c>
      <c r="X15" s="18" t="n">
        <f aca="false">X13*X14/12</f>
        <v>5866666.66666667</v>
      </c>
      <c r="Y15" s="18" t="n">
        <f aca="false">Y13*Y14/12</f>
        <v>5866666.66666667</v>
      </c>
      <c r="Z15" s="18" t="n">
        <f aca="false">Z13*Z14/12</f>
        <v>8066666.66666667</v>
      </c>
      <c r="AA15" s="18" t="n">
        <f aca="false">AA13*AA14/12</f>
        <v>8066666.66666667</v>
      </c>
      <c r="AB15" s="18" t="n">
        <f aca="false">AB13*AB14/12</f>
        <v>8066666.66666667</v>
      </c>
      <c r="AC15" s="18" t="n">
        <f aca="false">AC13*AC14/12</f>
        <v>9680000</v>
      </c>
      <c r="AD15" s="18" t="n">
        <f aca="false">AD13*AD14/12</f>
        <v>9680000</v>
      </c>
      <c r="AE15" s="18" t="n">
        <f aca="false">AE13*AE14/12</f>
        <v>9680000</v>
      </c>
      <c r="AF15" s="18" t="n">
        <f aca="false">AF13*AF14/12</f>
        <v>12100000</v>
      </c>
      <c r="AG15" s="18" t="n">
        <f aca="false">AG13*AG14/12</f>
        <v>12100000</v>
      </c>
      <c r="AH15" s="18" t="n">
        <f aca="false">AH13*AH14/12</f>
        <v>12100000</v>
      </c>
      <c r="AI15" s="18" t="n">
        <f aca="false">AI13*AI14/12</f>
        <v>14520000</v>
      </c>
      <c r="AJ15" s="18" t="n">
        <f aca="false">AJ13*AJ14/12</f>
        <v>14520000</v>
      </c>
      <c r="AK15" s="18" t="n">
        <f aca="false">AK13*AK14/12</f>
        <v>14520000</v>
      </c>
    </row>
    <row r="17" customFormat="false" ht="15" hidden="false" customHeight="true" outlineLevel="0" collapsed="false">
      <c r="A17" s="4" t="s">
        <v>35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customFormat="false" ht="15" hidden="false" customHeight="true" outlineLevel="0" collapsed="false">
      <c r="A18" s="10" t="s">
        <v>36</v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5</v>
      </c>
      <c r="O18" s="17" t="n">
        <v>5</v>
      </c>
      <c r="P18" s="17" t="n">
        <v>5</v>
      </c>
      <c r="Q18" s="17" t="n">
        <v>5</v>
      </c>
      <c r="R18" s="17" t="n">
        <v>5</v>
      </c>
      <c r="S18" s="17" t="n">
        <v>5</v>
      </c>
      <c r="T18" s="17" t="n">
        <v>5</v>
      </c>
      <c r="U18" s="17" t="n">
        <v>5</v>
      </c>
      <c r="V18" s="17" t="n">
        <v>5</v>
      </c>
      <c r="W18" s="17" t="n">
        <v>5</v>
      </c>
      <c r="X18" s="17" t="n">
        <v>5</v>
      </c>
      <c r="Y18" s="17" t="n">
        <v>5</v>
      </c>
      <c r="Z18" s="17" t="n">
        <v>20</v>
      </c>
      <c r="AA18" s="17" t="n">
        <v>20</v>
      </c>
      <c r="AB18" s="17" t="n">
        <v>20</v>
      </c>
      <c r="AC18" s="17" t="n">
        <v>20</v>
      </c>
      <c r="AD18" s="17" t="n">
        <v>20</v>
      </c>
      <c r="AE18" s="17" t="n">
        <v>20</v>
      </c>
      <c r="AF18" s="17" t="n">
        <v>20</v>
      </c>
      <c r="AG18" s="17" t="n">
        <v>20</v>
      </c>
      <c r="AH18" s="17" t="n">
        <v>20</v>
      </c>
      <c r="AI18" s="17" t="n">
        <v>20</v>
      </c>
      <c r="AJ18" s="17" t="n">
        <v>20</v>
      </c>
      <c r="AK18" s="17" t="n">
        <v>20</v>
      </c>
    </row>
    <row r="19" customFormat="false" ht="15" hidden="false" customHeight="true" outlineLevel="0" collapsed="false">
      <c r="A19" s="10" t="s">
        <v>37</v>
      </c>
      <c r="B19" s="18" t="n">
        <f aca="false">B18</f>
        <v>0</v>
      </c>
      <c r="C19" s="18" t="n">
        <f aca="false">B19+C18</f>
        <v>0</v>
      </c>
      <c r="D19" s="18" t="n">
        <f aca="false">C19+D18</f>
        <v>0</v>
      </c>
      <c r="E19" s="18" t="n">
        <f aca="false">D19+E18</f>
        <v>0</v>
      </c>
      <c r="F19" s="18" t="n">
        <f aca="false">E19+F18</f>
        <v>0</v>
      </c>
      <c r="G19" s="18" t="n">
        <f aca="false">F19+G18</f>
        <v>0</v>
      </c>
      <c r="H19" s="18" t="n">
        <f aca="false">G19+H18</f>
        <v>0</v>
      </c>
      <c r="I19" s="18" t="n">
        <f aca="false">H19+I18</f>
        <v>0</v>
      </c>
      <c r="J19" s="18" t="n">
        <f aca="false">I19+J18</f>
        <v>0</v>
      </c>
      <c r="K19" s="18" t="n">
        <f aca="false">J19+K18</f>
        <v>0</v>
      </c>
      <c r="L19" s="18" t="n">
        <f aca="false">K19+L18</f>
        <v>0</v>
      </c>
      <c r="M19" s="18" t="n">
        <f aca="false">L19+M18</f>
        <v>0</v>
      </c>
      <c r="N19" s="18" t="n">
        <f aca="false">M19+N18</f>
        <v>5</v>
      </c>
      <c r="O19" s="18" t="n">
        <f aca="false">N19+O18</f>
        <v>10</v>
      </c>
      <c r="P19" s="18" t="n">
        <f aca="false">O19+P18</f>
        <v>15</v>
      </c>
      <c r="Q19" s="18" t="n">
        <f aca="false">P19+Q18</f>
        <v>20</v>
      </c>
      <c r="R19" s="18" t="n">
        <f aca="false">Q19+R18</f>
        <v>25</v>
      </c>
      <c r="S19" s="18" t="n">
        <f aca="false">R19+S18</f>
        <v>30</v>
      </c>
      <c r="T19" s="18" t="n">
        <f aca="false">S19+T18</f>
        <v>35</v>
      </c>
      <c r="U19" s="18" t="n">
        <f aca="false">T19+U18</f>
        <v>40</v>
      </c>
      <c r="V19" s="18" t="n">
        <f aca="false">U19+V18</f>
        <v>45</v>
      </c>
      <c r="W19" s="18" t="n">
        <f aca="false">V19+W18</f>
        <v>50</v>
      </c>
      <c r="X19" s="18" t="n">
        <f aca="false">W19+X18</f>
        <v>55</v>
      </c>
      <c r="Y19" s="18" t="n">
        <f aca="false">X19+Y18</f>
        <v>60</v>
      </c>
      <c r="Z19" s="18" t="n">
        <f aca="false">Y19+Z18</f>
        <v>80</v>
      </c>
      <c r="AA19" s="18" t="n">
        <f aca="false">Z19+AA18</f>
        <v>100</v>
      </c>
      <c r="AB19" s="18" t="n">
        <f aca="false">AA19+AB18</f>
        <v>120</v>
      </c>
      <c r="AC19" s="18" t="n">
        <f aca="false">AB19+AC18</f>
        <v>140</v>
      </c>
      <c r="AD19" s="18" t="n">
        <f aca="false">AC19+AD18</f>
        <v>160</v>
      </c>
      <c r="AE19" s="18" t="n">
        <f aca="false">AD19+AE18</f>
        <v>180</v>
      </c>
      <c r="AF19" s="18" t="n">
        <f aca="false">AE19+AF18</f>
        <v>200</v>
      </c>
      <c r="AG19" s="18" t="n">
        <f aca="false">AF19+AG18</f>
        <v>220</v>
      </c>
      <c r="AH19" s="18" t="n">
        <f aca="false">AG19+AH18</f>
        <v>240</v>
      </c>
      <c r="AI19" s="18" t="n">
        <f aca="false">AH19+AI18</f>
        <v>260</v>
      </c>
      <c r="AJ19" s="18" t="n">
        <f aca="false">AI19+AJ18</f>
        <v>280</v>
      </c>
      <c r="AK19" s="18" t="n">
        <f aca="false">AJ19+AK18</f>
        <v>300</v>
      </c>
    </row>
    <row r="20" customFormat="false" ht="15" hidden="false" customHeight="true" outlineLevel="0" collapsed="false">
      <c r="A20" s="14" t="s">
        <v>38</v>
      </c>
      <c r="B20" s="16" t="n">
        <v>0</v>
      </c>
      <c r="C20" s="16" t="n">
        <v>0</v>
      </c>
      <c r="D20" s="16" t="n">
        <v>0</v>
      </c>
      <c r="E20" s="16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6" t="n">
        <v>0</v>
      </c>
      <c r="L20" s="16" t="n">
        <v>0</v>
      </c>
      <c r="M20" s="16" t="n">
        <v>0</v>
      </c>
      <c r="N20" s="16" t="n">
        <v>45000</v>
      </c>
      <c r="O20" s="16" t="n">
        <v>45000</v>
      </c>
      <c r="P20" s="16" t="n">
        <v>45000</v>
      </c>
      <c r="Q20" s="16" t="n">
        <v>45000</v>
      </c>
      <c r="R20" s="16" t="n">
        <v>45000</v>
      </c>
      <c r="S20" s="16" t="n">
        <v>45000</v>
      </c>
      <c r="T20" s="16" t="n">
        <v>45000</v>
      </c>
      <c r="U20" s="16" t="n">
        <v>45000</v>
      </c>
      <c r="V20" s="16" t="n">
        <v>45000</v>
      </c>
      <c r="W20" s="16" t="n">
        <v>45000</v>
      </c>
      <c r="X20" s="16" t="n">
        <v>45000</v>
      </c>
      <c r="Y20" s="16" t="n">
        <v>45000</v>
      </c>
      <c r="Z20" s="16" t="n">
        <v>47250</v>
      </c>
      <c r="AA20" s="16" t="n">
        <v>47250</v>
      </c>
      <c r="AB20" s="16" t="n">
        <v>47250</v>
      </c>
      <c r="AC20" s="16" t="n">
        <v>47250</v>
      </c>
      <c r="AD20" s="16" t="n">
        <v>47250</v>
      </c>
      <c r="AE20" s="16" t="n">
        <v>47250</v>
      </c>
      <c r="AF20" s="16" t="n">
        <v>47250</v>
      </c>
      <c r="AG20" s="16" t="n">
        <v>47250</v>
      </c>
      <c r="AH20" s="16" t="n">
        <v>47250</v>
      </c>
      <c r="AI20" s="16" t="n">
        <v>47250</v>
      </c>
      <c r="AJ20" s="16" t="n">
        <v>47250</v>
      </c>
      <c r="AK20" s="16" t="n">
        <v>47250</v>
      </c>
    </row>
    <row r="21" customFormat="false" ht="15" hidden="false" customHeight="true" outlineLevel="0" collapsed="false">
      <c r="A21" s="10" t="s">
        <v>39</v>
      </c>
      <c r="B21" s="18" t="n">
        <f aca="false">B19*B20</f>
        <v>0</v>
      </c>
      <c r="C21" s="18" t="n">
        <f aca="false">C19*C20</f>
        <v>0</v>
      </c>
      <c r="D21" s="18" t="n">
        <f aca="false">D19*D20</f>
        <v>0</v>
      </c>
      <c r="E21" s="18" t="n">
        <f aca="false">E19*E20</f>
        <v>0</v>
      </c>
      <c r="F21" s="18" t="n">
        <f aca="false">F19*F20</f>
        <v>0</v>
      </c>
      <c r="G21" s="18" t="n">
        <f aca="false">G19*G20</f>
        <v>0</v>
      </c>
      <c r="H21" s="18" t="n">
        <f aca="false">H19*H20</f>
        <v>0</v>
      </c>
      <c r="I21" s="18" t="n">
        <f aca="false">I19*I20</f>
        <v>0</v>
      </c>
      <c r="J21" s="18" t="n">
        <f aca="false">J19*J20</f>
        <v>0</v>
      </c>
      <c r="K21" s="18" t="n">
        <f aca="false">K19*K20</f>
        <v>0</v>
      </c>
      <c r="L21" s="18" t="n">
        <f aca="false">L19*L20</f>
        <v>0</v>
      </c>
      <c r="M21" s="18" t="n">
        <f aca="false">M19*M20</f>
        <v>0</v>
      </c>
      <c r="N21" s="18" t="n">
        <f aca="false">N19*N20</f>
        <v>225000</v>
      </c>
      <c r="O21" s="18" t="n">
        <f aca="false">O19*O20</f>
        <v>450000</v>
      </c>
      <c r="P21" s="18" t="n">
        <f aca="false">P19*P20</f>
        <v>675000</v>
      </c>
      <c r="Q21" s="18" t="n">
        <f aca="false">Q19*Q20</f>
        <v>900000</v>
      </c>
      <c r="R21" s="18" t="n">
        <f aca="false">R19*R20</f>
        <v>1125000</v>
      </c>
      <c r="S21" s="18" t="n">
        <f aca="false">S19*S20</f>
        <v>1350000</v>
      </c>
      <c r="T21" s="18" t="n">
        <f aca="false">T19*T20</f>
        <v>1575000</v>
      </c>
      <c r="U21" s="18" t="n">
        <f aca="false">U19*U20</f>
        <v>1800000</v>
      </c>
      <c r="V21" s="18" t="n">
        <f aca="false">V19*V20</f>
        <v>2025000</v>
      </c>
      <c r="W21" s="18" t="n">
        <f aca="false">W19*W20</f>
        <v>2250000</v>
      </c>
      <c r="X21" s="18" t="n">
        <f aca="false">X19*X20</f>
        <v>2475000</v>
      </c>
      <c r="Y21" s="18" t="n">
        <f aca="false">Y19*Y20</f>
        <v>2700000</v>
      </c>
      <c r="Z21" s="18" t="n">
        <f aca="false">Z19*Z20</f>
        <v>3780000</v>
      </c>
      <c r="AA21" s="18" t="n">
        <f aca="false">AA19*AA20</f>
        <v>4725000</v>
      </c>
      <c r="AB21" s="18" t="n">
        <f aca="false">AB19*AB20</f>
        <v>5670000</v>
      </c>
      <c r="AC21" s="18" t="n">
        <f aca="false">AC19*AC20</f>
        <v>6615000</v>
      </c>
      <c r="AD21" s="18" t="n">
        <f aca="false">AD19*AD20</f>
        <v>7560000</v>
      </c>
      <c r="AE21" s="18" t="n">
        <f aca="false">AE19*AE20</f>
        <v>8505000</v>
      </c>
      <c r="AF21" s="18" t="n">
        <f aca="false">AF19*AF20</f>
        <v>9450000</v>
      </c>
      <c r="AG21" s="18" t="n">
        <f aca="false">AG19*AG20</f>
        <v>10395000</v>
      </c>
      <c r="AH21" s="18" t="n">
        <f aca="false">AH19*AH20</f>
        <v>11340000</v>
      </c>
      <c r="AI21" s="18" t="n">
        <f aca="false">AI19*AI20</f>
        <v>12285000</v>
      </c>
      <c r="AJ21" s="18" t="n">
        <f aca="false">AJ19*AJ20</f>
        <v>13230000</v>
      </c>
      <c r="AK21" s="18" t="n">
        <f aca="false">AK19*AK20</f>
        <v>14175000</v>
      </c>
    </row>
    <row r="23" customFormat="false" ht="15" hidden="false" customHeight="true" outlineLevel="0" collapsed="false">
      <c r="A23" s="4" t="s">
        <v>40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customFormat="false" ht="15" hidden="false" customHeight="true" outlineLevel="0" collapsed="false">
      <c r="A24" s="10" t="s">
        <v>41</v>
      </c>
      <c r="B24" s="19" t="n">
        <f aca="false">B15+B21</f>
        <v>666666.666666667</v>
      </c>
      <c r="C24" s="19" t="n">
        <f aca="false">C15+C21</f>
        <v>666666.666666667</v>
      </c>
      <c r="D24" s="19" t="n">
        <f aca="false">D15+D21</f>
        <v>666666.666666667</v>
      </c>
      <c r="E24" s="19" t="n">
        <f aca="false">E15+E21</f>
        <v>1333333.33333333</v>
      </c>
      <c r="F24" s="19" t="n">
        <f aca="false">F15+F21</f>
        <v>1333333.33333333</v>
      </c>
      <c r="G24" s="19" t="n">
        <f aca="false">G15+G21</f>
        <v>1333333.33333333</v>
      </c>
      <c r="H24" s="19" t="n">
        <f aca="false">H15+H21</f>
        <v>1333333.33333333</v>
      </c>
      <c r="I24" s="19" t="n">
        <f aca="false">I15+I21</f>
        <v>1333333.33333333</v>
      </c>
      <c r="J24" s="19" t="n">
        <f aca="false">J15+J21</f>
        <v>1333333.33333333</v>
      </c>
      <c r="K24" s="19" t="n">
        <f aca="false">K15+K21</f>
        <v>2000000</v>
      </c>
      <c r="L24" s="19" t="n">
        <f aca="false">L15+L21</f>
        <v>2000000</v>
      </c>
      <c r="M24" s="19" t="n">
        <f aca="false">M15+M21</f>
        <v>2000000</v>
      </c>
      <c r="N24" s="19" t="n">
        <f aca="false">N15+N21</f>
        <v>3158333.33333333</v>
      </c>
      <c r="O24" s="19" t="n">
        <f aca="false">O15+O21</f>
        <v>3383333.33333333</v>
      </c>
      <c r="P24" s="19" t="n">
        <f aca="false">P15+P21</f>
        <v>3608333.33333333</v>
      </c>
      <c r="Q24" s="19" t="n">
        <f aca="false">Q15+Q21</f>
        <v>4566666.66666667</v>
      </c>
      <c r="R24" s="19" t="n">
        <f aca="false">R15+R21</f>
        <v>4791666.66666667</v>
      </c>
      <c r="S24" s="19" t="n">
        <f aca="false">S15+S21</f>
        <v>5016666.66666667</v>
      </c>
      <c r="T24" s="19" t="n">
        <f aca="false">T15+T21</f>
        <v>5975000</v>
      </c>
      <c r="U24" s="19" t="n">
        <f aca="false">U15+U21</f>
        <v>6200000</v>
      </c>
      <c r="V24" s="19" t="n">
        <f aca="false">V15+V21</f>
        <v>6425000</v>
      </c>
      <c r="W24" s="19" t="n">
        <f aca="false">W15+W21</f>
        <v>8116666.66666667</v>
      </c>
      <c r="X24" s="19" t="n">
        <f aca="false">X15+X21</f>
        <v>8341666.66666667</v>
      </c>
      <c r="Y24" s="19" t="n">
        <f aca="false">Y15+Y21</f>
        <v>8566666.66666667</v>
      </c>
      <c r="Z24" s="19" t="n">
        <f aca="false">Z15+Z21</f>
        <v>11846666.6666667</v>
      </c>
      <c r="AA24" s="19" t="n">
        <f aca="false">AA15+AA21</f>
        <v>12791666.6666667</v>
      </c>
      <c r="AB24" s="19" t="n">
        <f aca="false">AB15+AB21</f>
        <v>13736666.6666667</v>
      </c>
      <c r="AC24" s="19" t="n">
        <f aca="false">AC15+AC21</f>
        <v>16295000</v>
      </c>
      <c r="AD24" s="19" t="n">
        <f aca="false">AD15+AD21</f>
        <v>17240000</v>
      </c>
      <c r="AE24" s="19" t="n">
        <f aca="false">AE15+AE21</f>
        <v>18185000</v>
      </c>
      <c r="AF24" s="19" t="n">
        <f aca="false">AF15+AF21</f>
        <v>21550000</v>
      </c>
      <c r="AG24" s="19" t="n">
        <f aca="false">AG15+AG21</f>
        <v>22495000</v>
      </c>
      <c r="AH24" s="19" t="n">
        <f aca="false">AH15+AH21</f>
        <v>23440000</v>
      </c>
      <c r="AI24" s="19" t="n">
        <f aca="false">AI15+AI21</f>
        <v>26805000</v>
      </c>
      <c r="AJ24" s="19" t="n">
        <f aca="false">AJ15+AJ21</f>
        <v>27750000</v>
      </c>
      <c r="AK24" s="19" t="n">
        <f aca="false">AK15+AK21</f>
        <v>28695000</v>
      </c>
    </row>
    <row r="25" customFormat="false" ht="15" hidden="false" customHeight="true" outlineLevel="0" collapsed="false">
      <c r="A25" s="10" t="s">
        <v>42</v>
      </c>
      <c r="B25" s="20" t="n">
        <f aca="false">B24/B9</f>
        <v>2380.95238095238</v>
      </c>
      <c r="C25" s="20" t="n">
        <f aca="false">C24/C9</f>
        <v>2380.95238095238</v>
      </c>
      <c r="D25" s="20" t="n">
        <f aca="false">D24/D9</f>
        <v>2380.95238095238</v>
      </c>
      <c r="E25" s="20" t="n">
        <f aca="false">E24/E9</f>
        <v>4761.90476190476</v>
      </c>
      <c r="F25" s="20" t="n">
        <f aca="false">F24/F9</f>
        <v>4761.90476190476</v>
      </c>
      <c r="G25" s="20" t="n">
        <f aca="false">G24/G9</f>
        <v>4761.90476190476</v>
      </c>
      <c r="H25" s="20" t="n">
        <f aca="false">H24/H9</f>
        <v>4761.90476190476</v>
      </c>
      <c r="I25" s="20" t="n">
        <f aca="false">I24/I9</f>
        <v>4761.90476190476</v>
      </c>
      <c r="J25" s="20" t="n">
        <f aca="false">J24/J9</f>
        <v>4761.90476190476</v>
      </c>
      <c r="K25" s="20" t="n">
        <f aca="false">K24/K9</f>
        <v>7142.85714285714</v>
      </c>
      <c r="L25" s="20" t="n">
        <f aca="false">L24/L9</f>
        <v>7142.85714285714</v>
      </c>
      <c r="M25" s="20" t="n">
        <f aca="false">M24/M9</f>
        <v>7142.85714285714</v>
      </c>
      <c r="N25" s="20" t="n">
        <f aca="false">N24/N9</f>
        <v>11279.7619047619</v>
      </c>
      <c r="O25" s="20" t="n">
        <f aca="false">O24/O9</f>
        <v>12083.3333333333</v>
      </c>
      <c r="P25" s="20" t="n">
        <f aca="false">P24/P9</f>
        <v>12886.9047619048</v>
      </c>
      <c r="Q25" s="20" t="n">
        <f aca="false">Q24/Q9</f>
        <v>16309.5238095238</v>
      </c>
      <c r="R25" s="20" t="n">
        <f aca="false">R24/R9</f>
        <v>17113.0952380952</v>
      </c>
      <c r="S25" s="20" t="n">
        <f aca="false">S24/S9</f>
        <v>17916.6666666667</v>
      </c>
      <c r="T25" s="20" t="n">
        <f aca="false">T24/T9</f>
        <v>21339.2857142857</v>
      </c>
      <c r="U25" s="20" t="n">
        <f aca="false">U24/U9</f>
        <v>22142.8571428571</v>
      </c>
      <c r="V25" s="20" t="n">
        <f aca="false">V24/V9</f>
        <v>22946.4285714286</v>
      </c>
      <c r="W25" s="20" t="n">
        <f aca="false">W24/W9</f>
        <v>28988.0952380952</v>
      </c>
      <c r="X25" s="20" t="n">
        <f aca="false">X24/X9</f>
        <v>29791.6666666667</v>
      </c>
      <c r="Y25" s="20" t="n">
        <f aca="false">Y24/Y9</f>
        <v>30595.2380952381</v>
      </c>
      <c r="Z25" s="20" t="n">
        <f aca="false">Z24/Z9</f>
        <v>42309.5238095238</v>
      </c>
      <c r="AA25" s="20" t="n">
        <f aca="false">AA24/AA9</f>
        <v>45684.5238095238</v>
      </c>
      <c r="AB25" s="20" t="n">
        <f aca="false">AB24/AB9</f>
        <v>49059.5238095238</v>
      </c>
      <c r="AC25" s="20" t="n">
        <f aca="false">AC24/AC9</f>
        <v>58196.4285714286</v>
      </c>
      <c r="AD25" s="20" t="n">
        <f aca="false">AD24/AD9</f>
        <v>61571.4285714286</v>
      </c>
      <c r="AE25" s="20" t="n">
        <f aca="false">AE24/AE9</f>
        <v>64946.4285714286</v>
      </c>
      <c r="AF25" s="20" t="n">
        <f aca="false">AF24/AF9</f>
        <v>76964.2857142857</v>
      </c>
      <c r="AG25" s="20" t="n">
        <f aca="false">AG24/AG9</f>
        <v>80339.2857142857</v>
      </c>
      <c r="AH25" s="20" t="n">
        <f aca="false">AH24/AH9</f>
        <v>83714.2857142857</v>
      </c>
      <c r="AI25" s="20" t="n">
        <f aca="false">AI24/AI9</f>
        <v>95732.1428571429</v>
      </c>
      <c r="AJ25" s="20" t="n">
        <f aca="false">AJ24/AJ9</f>
        <v>99107.1428571429</v>
      </c>
      <c r="AK25" s="20" t="n">
        <f aca="false">AK24/AK9</f>
        <v>102482.142857143</v>
      </c>
    </row>
    <row r="27" customFormat="false" ht="15" hidden="false" customHeight="true" outlineLevel="0" collapsed="false">
      <c r="A27" s="4" t="s">
        <v>43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customFormat="false" ht="15" hidden="false" customHeight="true" outlineLevel="0" collapsed="false">
      <c r="A28" s="14" t="s">
        <v>44</v>
      </c>
      <c r="B28" s="21" t="n">
        <v>0.02</v>
      </c>
      <c r="C28" s="21" t="n">
        <v>0.02</v>
      </c>
      <c r="D28" s="21" t="n">
        <v>0.02</v>
      </c>
      <c r="E28" s="21" t="n">
        <v>0.02</v>
      </c>
      <c r="F28" s="21" t="n">
        <v>0.02</v>
      </c>
      <c r="G28" s="21" t="n">
        <v>0.02</v>
      </c>
      <c r="H28" s="21" t="n">
        <v>0.02</v>
      </c>
      <c r="I28" s="21" t="n">
        <v>0.02</v>
      </c>
      <c r="J28" s="21" t="n">
        <v>0.02</v>
      </c>
      <c r="K28" s="21" t="n">
        <v>0.02</v>
      </c>
      <c r="L28" s="21" t="n">
        <v>0.02</v>
      </c>
      <c r="M28" s="21" t="n">
        <v>0.02</v>
      </c>
      <c r="N28" s="21" t="n">
        <v>0.02</v>
      </c>
      <c r="O28" s="21" t="n">
        <v>0.02</v>
      </c>
      <c r="P28" s="21" t="n">
        <v>0.02</v>
      </c>
      <c r="Q28" s="21" t="n">
        <v>0.02</v>
      </c>
      <c r="R28" s="21" t="n">
        <v>0.02</v>
      </c>
      <c r="S28" s="21" t="n">
        <v>0.02</v>
      </c>
      <c r="T28" s="21" t="n">
        <v>0.02</v>
      </c>
      <c r="U28" s="21" t="n">
        <v>0.02</v>
      </c>
      <c r="V28" s="21" t="n">
        <v>0.02</v>
      </c>
      <c r="W28" s="21" t="n">
        <v>0.02</v>
      </c>
      <c r="X28" s="21" t="n">
        <v>0.02</v>
      </c>
      <c r="Y28" s="21" t="n">
        <v>0.02</v>
      </c>
      <c r="Z28" s="21" t="n">
        <v>0.02</v>
      </c>
      <c r="AA28" s="21" t="n">
        <v>0.02</v>
      </c>
      <c r="AB28" s="21" t="n">
        <v>0.02</v>
      </c>
      <c r="AC28" s="21" t="n">
        <v>0.02</v>
      </c>
      <c r="AD28" s="21" t="n">
        <v>0.02</v>
      </c>
      <c r="AE28" s="21" t="n">
        <v>0.02</v>
      </c>
      <c r="AF28" s="21" t="n">
        <v>0.02</v>
      </c>
      <c r="AG28" s="21" t="n">
        <v>0.02</v>
      </c>
      <c r="AH28" s="21" t="n">
        <v>0.02</v>
      </c>
      <c r="AI28" s="21" t="n">
        <v>0.02</v>
      </c>
      <c r="AJ28" s="21" t="n">
        <v>0.02</v>
      </c>
      <c r="AK28" s="21" t="n">
        <v>0.02</v>
      </c>
    </row>
    <row r="29" customFormat="false" ht="15" hidden="false" customHeight="true" outlineLevel="0" collapsed="false">
      <c r="A29" s="10" t="s">
        <v>45</v>
      </c>
      <c r="B29" s="18" t="n">
        <f aca="false">B15*B28</f>
        <v>13333.3333333333</v>
      </c>
      <c r="C29" s="18" t="n">
        <f aca="false">C15*C28</f>
        <v>13333.3333333333</v>
      </c>
      <c r="D29" s="18" t="n">
        <f aca="false">D15*D28</f>
        <v>13333.3333333333</v>
      </c>
      <c r="E29" s="18" t="n">
        <f aca="false">E15*E28</f>
        <v>26666.6666666667</v>
      </c>
      <c r="F29" s="18" t="n">
        <f aca="false">F15*F28</f>
        <v>26666.6666666667</v>
      </c>
      <c r="G29" s="18" t="n">
        <f aca="false">G15*G28</f>
        <v>26666.6666666667</v>
      </c>
      <c r="H29" s="18" t="n">
        <f aca="false">H15*H28</f>
        <v>26666.6666666667</v>
      </c>
      <c r="I29" s="18" t="n">
        <f aca="false">I15*I28</f>
        <v>26666.6666666667</v>
      </c>
      <c r="J29" s="18" t="n">
        <f aca="false">J15*J28</f>
        <v>26666.6666666667</v>
      </c>
      <c r="K29" s="18" t="n">
        <f aca="false">K15*K28</f>
        <v>40000</v>
      </c>
      <c r="L29" s="18" t="n">
        <f aca="false">L15*L28</f>
        <v>40000</v>
      </c>
      <c r="M29" s="18" t="n">
        <f aca="false">M15*M28</f>
        <v>40000</v>
      </c>
      <c r="N29" s="18" t="n">
        <f aca="false">N15*N28</f>
        <v>58666.6666666667</v>
      </c>
      <c r="O29" s="18" t="n">
        <f aca="false">O15*O28</f>
        <v>58666.6666666667</v>
      </c>
      <c r="P29" s="18" t="n">
        <f aca="false">P15*P28</f>
        <v>58666.6666666667</v>
      </c>
      <c r="Q29" s="18" t="n">
        <f aca="false">Q15*Q28</f>
        <v>73333.3333333333</v>
      </c>
      <c r="R29" s="18" t="n">
        <f aca="false">R15*R28</f>
        <v>73333.3333333333</v>
      </c>
      <c r="S29" s="18" t="n">
        <f aca="false">S15*S28</f>
        <v>73333.3333333333</v>
      </c>
      <c r="T29" s="18" t="n">
        <f aca="false">T15*T28</f>
        <v>88000</v>
      </c>
      <c r="U29" s="18" t="n">
        <f aca="false">U15*U28</f>
        <v>88000</v>
      </c>
      <c r="V29" s="18" t="n">
        <f aca="false">V15*V28</f>
        <v>88000</v>
      </c>
      <c r="W29" s="18" t="n">
        <f aca="false">W15*W28</f>
        <v>117333.333333333</v>
      </c>
      <c r="X29" s="18" t="n">
        <f aca="false">X15*X28</f>
        <v>117333.333333333</v>
      </c>
      <c r="Y29" s="18" t="n">
        <f aca="false">Y15*Y28</f>
        <v>117333.333333333</v>
      </c>
      <c r="Z29" s="18" t="n">
        <f aca="false">Z15*Z28</f>
        <v>161333.333333333</v>
      </c>
      <c r="AA29" s="18" t="n">
        <f aca="false">AA15*AA28</f>
        <v>161333.333333333</v>
      </c>
      <c r="AB29" s="18" t="n">
        <f aca="false">AB15*AB28</f>
        <v>161333.333333333</v>
      </c>
      <c r="AC29" s="18" t="n">
        <f aca="false">AC15*AC28</f>
        <v>193600</v>
      </c>
      <c r="AD29" s="18" t="n">
        <f aca="false">AD15*AD28</f>
        <v>193600</v>
      </c>
      <c r="AE29" s="18" t="n">
        <f aca="false">AE15*AE28</f>
        <v>193600</v>
      </c>
      <c r="AF29" s="18" t="n">
        <f aca="false">AF15*AF28</f>
        <v>242000</v>
      </c>
      <c r="AG29" s="18" t="n">
        <f aca="false">AG15*AG28</f>
        <v>242000</v>
      </c>
      <c r="AH29" s="18" t="n">
        <f aca="false">AH15*AH28</f>
        <v>242000</v>
      </c>
      <c r="AI29" s="18" t="n">
        <f aca="false">AI15*AI28</f>
        <v>290400</v>
      </c>
      <c r="AJ29" s="18" t="n">
        <f aca="false">AJ15*AJ28</f>
        <v>290400</v>
      </c>
      <c r="AK29" s="18" t="n">
        <f aca="false">AK15*AK28</f>
        <v>290400</v>
      </c>
    </row>
    <row r="31" customFormat="false" ht="15" hidden="false" customHeight="true" outlineLevel="0" collapsed="false">
      <c r="A31" s="4" t="s">
        <v>46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customFormat="false" ht="15" hidden="false" customHeight="true" outlineLevel="0" collapsed="false">
      <c r="A32" s="14" t="s">
        <v>47</v>
      </c>
      <c r="B32" s="16" t="n">
        <v>50000</v>
      </c>
      <c r="C32" s="16" t="n">
        <v>50000</v>
      </c>
      <c r="D32" s="16" t="n">
        <v>50000</v>
      </c>
      <c r="E32" s="16" t="n">
        <v>50000</v>
      </c>
      <c r="F32" s="16" t="n">
        <v>50000</v>
      </c>
      <c r="G32" s="16" t="n">
        <v>50000</v>
      </c>
      <c r="H32" s="16" t="n">
        <v>50000</v>
      </c>
      <c r="I32" s="16" t="n">
        <v>50000</v>
      </c>
      <c r="J32" s="16" t="n">
        <v>50000</v>
      </c>
      <c r="K32" s="16" t="n">
        <v>50000</v>
      </c>
      <c r="L32" s="16" t="n">
        <v>50000</v>
      </c>
      <c r="M32" s="16" t="n">
        <v>50000</v>
      </c>
      <c r="N32" s="16" t="n">
        <v>52500</v>
      </c>
      <c r="O32" s="16" t="n">
        <v>52500</v>
      </c>
      <c r="P32" s="16" t="n">
        <v>52500</v>
      </c>
      <c r="Q32" s="16" t="n">
        <v>52500</v>
      </c>
      <c r="R32" s="16" t="n">
        <v>52500</v>
      </c>
      <c r="S32" s="16" t="n">
        <v>52500</v>
      </c>
      <c r="T32" s="16" t="n">
        <v>52500</v>
      </c>
      <c r="U32" s="16" t="n">
        <v>52500</v>
      </c>
      <c r="V32" s="16" t="n">
        <v>52500</v>
      </c>
      <c r="W32" s="16" t="n">
        <v>52500</v>
      </c>
      <c r="X32" s="16" t="n">
        <v>52500</v>
      </c>
      <c r="Y32" s="16" t="n">
        <v>52500</v>
      </c>
      <c r="Z32" s="16" t="n">
        <v>55125</v>
      </c>
      <c r="AA32" s="16" t="n">
        <v>55125</v>
      </c>
      <c r="AB32" s="16" t="n">
        <v>55125</v>
      </c>
      <c r="AC32" s="16" t="n">
        <v>55125</v>
      </c>
      <c r="AD32" s="16" t="n">
        <v>55125</v>
      </c>
      <c r="AE32" s="16" t="n">
        <v>55125</v>
      </c>
      <c r="AF32" s="16" t="n">
        <v>55125</v>
      </c>
      <c r="AG32" s="16" t="n">
        <v>55125</v>
      </c>
      <c r="AH32" s="16" t="n">
        <v>55125</v>
      </c>
      <c r="AI32" s="16" t="n">
        <v>55125</v>
      </c>
      <c r="AJ32" s="16" t="n">
        <v>55125</v>
      </c>
      <c r="AK32" s="16" t="n">
        <v>55125</v>
      </c>
    </row>
    <row r="33" customFormat="false" ht="15" hidden="false" customHeight="true" outlineLevel="0" collapsed="false">
      <c r="A33" s="10" t="s">
        <v>48</v>
      </c>
      <c r="B33" s="18" t="n">
        <f aca="false">B13*B32</f>
        <v>50000</v>
      </c>
      <c r="C33" s="18" t="n">
        <f aca="false">C13*C32</f>
        <v>50000</v>
      </c>
      <c r="D33" s="18" t="n">
        <f aca="false">D13*D32</f>
        <v>50000</v>
      </c>
      <c r="E33" s="18" t="n">
        <f aca="false">E13*E32</f>
        <v>100000</v>
      </c>
      <c r="F33" s="18" t="n">
        <f aca="false">F13*F32</f>
        <v>100000</v>
      </c>
      <c r="G33" s="18" t="n">
        <f aca="false">G13*G32</f>
        <v>100000</v>
      </c>
      <c r="H33" s="18" t="n">
        <f aca="false">H13*H32</f>
        <v>100000</v>
      </c>
      <c r="I33" s="18" t="n">
        <f aca="false">I13*I32</f>
        <v>100000</v>
      </c>
      <c r="J33" s="18" t="n">
        <f aca="false">J13*J32</f>
        <v>100000</v>
      </c>
      <c r="K33" s="18" t="n">
        <f aca="false">K13*K32</f>
        <v>150000</v>
      </c>
      <c r="L33" s="18" t="n">
        <f aca="false">L13*L32</f>
        <v>150000</v>
      </c>
      <c r="M33" s="18" t="n">
        <f aca="false">M13*M32</f>
        <v>150000</v>
      </c>
      <c r="N33" s="18" t="n">
        <f aca="false">N13*N32</f>
        <v>210000</v>
      </c>
      <c r="O33" s="18" t="n">
        <f aca="false">O13*O32</f>
        <v>210000</v>
      </c>
      <c r="P33" s="18" t="n">
        <f aca="false">P13*P32</f>
        <v>210000</v>
      </c>
      <c r="Q33" s="18" t="n">
        <f aca="false">Q13*Q32</f>
        <v>262500</v>
      </c>
      <c r="R33" s="18" t="n">
        <f aca="false">R13*R32</f>
        <v>262500</v>
      </c>
      <c r="S33" s="18" t="n">
        <f aca="false">S13*S32</f>
        <v>262500</v>
      </c>
      <c r="T33" s="18" t="n">
        <f aca="false">T13*T32</f>
        <v>315000</v>
      </c>
      <c r="U33" s="18" t="n">
        <f aca="false">U13*U32</f>
        <v>315000</v>
      </c>
      <c r="V33" s="18" t="n">
        <f aca="false">V13*V32</f>
        <v>315000</v>
      </c>
      <c r="W33" s="18" t="n">
        <f aca="false">W13*W32</f>
        <v>420000</v>
      </c>
      <c r="X33" s="18" t="n">
        <f aca="false">X13*X32</f>
        <v>420000</v>
      </c>
      <c r="Y33" s="18" t="n">
        <f aca="false">Y13*Y32</f>
        <v>420000</v>
      </c>
      <c r="Z33" s="18" t="n">
        <f aca="false">Z13*Z32</f>
        <v>551250</v>
      </c>
      <c r="AA33" s="18" t="n">
        <f aca="false">AA13*AA32</f>
        <v>551250</v>
      </c>
      <c r="AB33" s="18" t="n">
        <f aca="false">AB13*AB32</f>
        <v>551250</v>
      </c>
      <c r="AC33" s="18" t="n">
        <f aca="false">AC13*AC32</f>
        <v>661500</v>
      </c>
      <c r="AD33" s="18" t="n">
        <f aca="false">AD13*AD32</f>
        <v>661500</v>
      </c>
      <c r="AE33" s="18" t="n">
        <f aca="false">AE13*AE32</f>
        <v>661500</v>
      </c>
      <c r="AF33" s="18" t="n">
        <f aca="false">AF13*AF32</f>
        <v>826875</v>
      </c>
      <c r="AG33" s="18" t="n">
        <f aca="false">AG13*AG32</f>
        <v>826875</v>
      </c>
      <c r="AH33" s="18" t="n">
        <f aca="false">AH13*AH32</f>
        <v>826875</v>
      </c>
      <c r="AI33" s="18" t="n">
        <f aca="false">AI13*AI32</f>
        <v>992250</v>
      </c>
      <c r="AJ33" s="18" t="n">
        <f aca="false">AJ13*AJ32</f>
        <v>992250</v>
      </c>
      <c r="AK33" s="18" t="n">
        <f aca="false">AK13*AK32</f>
        <v>992250</v>
      </c>
    </row>
    <row r="34" customFormat="false" ht="15" hidden="false" customHeight="true" outlineLevel="0" collapsed="false">
      <c r="A34" s="14" t="s">
        <v>49</v>
      </c>
      <c r="B34" s="16" t="n">
        <v>2000</v>
      </c>
      <c r="C34" s="16" t="n">
        <v>2000</v>
      </c>
      <c r="D34" s="16" t="n">
        <v>2000</v>
      </c>
      <c r="E34" s="16" t="n">
        <v>2000</v>
      </c>
      <c r="F34" s="16" t="n">
        <v>2000</v>
      </c>
      <c r="G34" s="16" t="n">
        <v>2000</v>
      </c>
      <c r="H34" s="16" t="n">
        <v>2000</v>
      </c>
      <c r="I34" s="16" t="n">
        <v>2000</v>
      </c>
      <c r="J34" s="16" t="n">
        <v>2000</v>
      </c>
      <c r="K34" s="16" t="n">
        <v>2000</v>
      </c>
      <c r="L34" s="16" t="n">
        <v>2000</v>
      </c>
      <c r="M34" s="16" t="n">
        <v>2000</v>
      </c>
      <c r="N34" s="16" t="n">
        <v>2000</v>
      </c>
      <c r="O34" s="16" t="n">
        <v>2000</v>
      </c>
      <c r="P34" s="16" t="n">
        <v>2000</v>
      </c>
      <c r="Q34" s="16" t="n">
        <v>2000</v>
      </c>
      <c r="R34" s="16" t="n">
        <v>2000</v>
      </c>
      <c r="S34" s="16" t="n">
        <v>2000</v>
      </c>
      <c r="T34" s="16" t="n">
        <v>2000</v>
      </c>
      <c r="U34" s="16" t="n">
        <v>2000</v>
      </c>
      <c r="V34" s="16" t="n">
        <v>2000</v>
      </c>
      <c r="W34" s="16" t="n">
        <v>2000</v>
      </c>
      <c r="X34" s="16" t="n">
        <v>2000</v>
      </c>
      <c r="Y34" s="16" t="n">
        <v>2000</v>
      </c>
      <c r="Z34" s="16" t="n">
        <v>2100</v>
      </c>
      <c r="AA34" s="16" t="n">
        <v>2100</v>
      </c>
      <c r="AB34" s="16" t="n">
        <v>2100</v>
      </c>
      <c r="AC34" s="16" t="n">
        <v>2100</v>
      </c>
      <c r="AD34" s="16" t="n">
        <v>2100</v>
      </c>
      <c r="AE34" s="16" t="n">
        <v>2100</v>
      </c>
      <c r="AF34" s="16" t="n">
        <v>2100</v>
      </c>
      <c r="AG34" s="16" t="n">
        <v>2100</v>
      </c>
      <c r="AH34" s="16" t="n">
        <v>2100</v>
      </c>
      <c r="AI34" s="16" t="n">
        <v>2100</v>
      </c>
      <c r="AJ34" s="16" t="n">
        <v>2100</v>
      </c>
      <c r="AK34" s="16" t="n">
        <v>2100</v>
      </c>
    </row>
    <row r="35" customFormat="false" ht="15" hidden="false" customHeight="true" outlineLevel="0" collapsed="false">
      <c r="A35" s="10" t="s">
        <v>50</v>
      </c>
      <c r="B35" s="18" t="n">
        <f aca="false">B19*B34</f>
        <v>0</v>
      </c>
      <c r="C35" s="18" t="n">
        <f aca="false">C19*C34</f>
        <v>0</v>
      </c>
      <c r="D35" s="18" t="n">
        <f aca="false">D19*D34</f>
        <v>0</v>
      </c>
      <c r="E35" s="18" t="n">
        <f aca="false">E19*E34</f>
        <v>0</v>
      </c>
      <c r="F35" s="18" t="n">
        <f aca="false">F19*F34</f>
        <v>0</v>
      </c>
      <c r="G35" s="18" t="n">
        <f aca="false">G19*G34</f>
        <v>0</v>
      </c>
      <c r="H35" s="18" t="n">
        <f aca="false">H19*H34</f>
        <v>0</v>
      </c>
      <c r="I35" s="18" t="n">
        <f aca="false">I19*I34</f>
        <v>0</v>
      </c>
      <c r="J35" s="18" t="n">
        <f aca="false">J19*J34</f>
        <v>0</v>
      </c>
      <c r="K35" s="18" t="n">
        <f aca="false">K19*K34</f>
        <v>0</v>
      </c>
      <c r="L35" s="18" t="n">
        <f aca="false">L19*L34</f>
        <v>0</v>
      </c>
      <c r="M35" s="18" t="n">
        <f aca="false">M19*M34</f>
        <v>0</v>
      </c>
      <c r="N35" s="18" t="n">
        <f aca="false">N19*N34</f>
        <v>10000</v>
      </c>
      <c r="O35" s="18" t="n">
        <f aca="false">O19*O34</f>
        <v>20000</v>
      </c>
      <c r="P35" s="18" t="n">
        <f aca="false">P19*P34</f>
        <v>30000</v>
      </c>
      <c r="Q35" s="18" t="n">
        <f aca="false">Q19*Q34</f>
        <v>40000</v>
      </c>
      <c r="R35" s="18" t="n">
        <f aca="false">R19*R34</f>
        <v>50000</v>
      </c>
      <c r="S35" s="18" t="n">
        <f aca="false">S19*S34</f>
        <v>60000</v>
      </c>
      <c r="T35" s="18" t="n">
        <f aca="false">T19*T34</f>
        <v>70000</v>
      </c>
      <c r="U35" s="18" t="n">
        <f aca="false">U19*U34</f>
        <v>80000</v>
      </c>
      <c r="V35" s="18" t="n">
        <f aca="false">V19*V34</f>
        <v>90000</v>
      </c>
      <c r="W35" s="18" t="n">
        <f aca="false">W19*W34</f>
        <v>100000</v>
      </c>
      <c r="X35" s="18" t="n">
        <f aca="false">X19*X34</f>
        <v>110000</v>
      </c>
      <c r="Y35" s="18" t="n">
        <f aca="false">Y19*Y34</f>
        <v>120000</v>
      </c>
      <c r="Z35" s="18" t="n">
        <f aca="false">Z19*Z34</f>
        <v>168000</v>
      </c>
      <c r="AA35" s="18" t="n">
        <f aca="false">AA19*AA34</f>
        <v>210000</v>
      </c>
      <c r="AB35" s="18" t="n">
        <f aca="false">AB19*AB34</f>
        <v>252000</v>
      </c>
      <c r="AC35" s="18" t="n">
        <f aca="false">AC19*AC34</f>
        <v>294000</v>
      </c>
      <c r="AD35" s="18" t="n">
        <f aca="false">AD19*AD34</f>
        <v>336000</v>
      </c>
      <c r="AE35" s="18" t="n">
        <f aca="false">AE19*AE34</f>
        <v>378000</v>
      </c>
      <c r="AF35" s="18" t="n">
        <f aca="false">AF19*AF34</f>
        <v>420000</v>
      </c>
      <c r="AG35" s="18" t="n">
        <f aca="false">AG19*AG34</f>
        <v>462000</v>
      </c>
      <c r="AH35" s="18" t="n">
        <f aca="false">AH19*AH34</f>
        <v>504000</v>
      </c>
      <c r="AI35" s="18" t="n">
        <f aca="false">AI19*AI34</f>
        <v>546000</v>
      </c>
      <c r="AJ35" s="18" t="n">
        <f aca="false">AJ19*AJ34</f>
        <v>588000</v>
      </c>
      <c r="AK35" s="18" t="n">
        <f aca="false">AK19*AK34</f>
        <v>630000</v>
      </c>
    </row>
    <row r="36" customFormat="false" ht="15" hidden="false" customHeight="true" outlineLevel="0" collapsed="false">
      <c r="A36" s="10" t="s">
        <v>51</v>
      </c>
      <c r="B36" s="19" t="n">
        <f aca="false">B33+B35</f>
        <v>50000</v>
      </c>
      <c r="C36" s="19" t="n">
        <f aca="false">C33+C35</f>
        <v>50000</v>
      </c>
      <c r="D36" s="19" t="n">
        <f aca="false">D33+D35</f>
        <v>50000</v>
      </c>
      <c r="E36" s="19" t="n">
        <f aca="false">E33+E35</f>
        <v>100000</v>
      </c>
      <c r="F36" s="19" t="n">
        <f aca="false">F33+F35</f>
        <v>100000</v>
      </c>
      <c r="G36" s="19" t="n">
        <f aca="false">G33+G35</f>
        <v>100000</v>
      </c>
      <c r="H36" s="19" t="n">
        <f aca="false">H33+H35</f>
        <v>100000</v>
      </c>
      <c r="I36" s="19" t="n">
        <f aca="false">I33+I35</f>
        <v>100000</v>
      </c>
      <c r="J36" s="19" t="n">
        <f aca="false">J33+J35</f>
        <v>100000</v>
      </c>
      <c r="K36" s="19" t="n">
        <f aca="false">K33+K35</f>
        <v>150000</v>
      </c>
      <c r="L36" s="19" t="n">
        <f aca="false">L33+L35</f>
        <v>150000</v>
      </c>
      <c r="M36" s="19" t="n">
        <f aca="false">M33+M35</f>
        <v>150000</v>
      </c>
      <c r="N36" s="19" t="n">
        <f aca="false">N33+N35</f>
        <v>220000</v>
      </c>
      <c r="O36" s="19" t="n">
        <f aca="false">O33+O35</f>
        <v>230000</v>
      </c>
      <c r="P36" s="19" t="n">
        <f aca="false">P33+P35</f>
        <v>240000</v>
      </c>
      <c r="Q36" s="19" t="n">
        <f aca="false">Q33+Q35</f>
        <v>302500</v>
      </c>
      <c r="R36" s="19" t="n">
        <f aca="false">R33+R35</f>
        <v>312500</v>
      </c>
      <c r="S36" s="19" t="n">
        <f aca="false">S33+S35</f>
        <v>322500</v>
      </c>
      <c r="T36" s="19" t="n">
        <f aca="false">T33+T35</f>
        <v>385000</v>
      </c>
      <c r="U36" s="19" t="n">
        <f aca="false">U33+U35</f>
        <v>395000</v>
      </c>
      <c r="V36" s="19" t="n">
        <f aca="false">V33+V35</f>
        <v>405000</v>
      </c>
      <c r="W36" s="19" t="n">
        <f aca="false">W33+W35</f>
        <v>520000</v>
      </c>
      <c r="X36" s="19" t="n">
        <f aca="false">X33+X35</f>
        <v>530000</v>
      </c>
      <c r="Y36" s="19" t="n">
        <f aca="false">Y33+Y35</f>
        <v>540000</v>
      </c>
      <c r="Z36" s="19" t="n">
        <f aca="false">Z33+Z35</f>
        <v>719250</v>
      </c>
      <c r="AA36" s="19" t="n">
        <f aca="false">AA33+AA35</f>
        <v>761250</v>
      </c>
      <c r="AB36" s="19" t="n">
        <f aca="false">AB33+AB35</f>
        <v>803250</v>
      </c>
      <c r="AC36" s="19" t="n">
        <f aca="false">AC33+AC35</f>
        <v>955500</v>
      </c>
      <c r="AD36" s="19" t="n">
        <f aca="false">AD33+AD35</f>
        <v>997500</v>
      </c>
      <c r="AE36" s="19" t="n">
        <f aca="false">AE33+AE35</f>
        <v>1039500</v>
      </c>
      <c r="AF36" s="19" t="n">
        <f aca="false">AF33+AF35</f>
        <v>1246875</v>
      </c>
      <c r="AG36" s="19" t="n">
        <f aca="false">AG33+AG35</f>
        <v>1288875</v>
      </c>
      <c r="AH36" s="19" t="n">
        <f aca="false">AH33+AH35</f>
        <v>1330875</v>
      </c>
      <c r="AI36" s="19" t="n">
        <f aca="false">AI33+AI35</f>
        <v>1538250</v>
      </c>
      <c r="AJ36" s="19" t="n">
        <f aca="false">AJ33+AJ35</f>
        <v>1580250</v>
      </c>
      <c r="AK36" s="19" t="n">
        <f aca="false">AK33+AK35</f>
        <v>1622250</v>
      </c>
    </row>
    <row r="38" customFormat="false" ht="15" hidden="false" customHeight="true" outlineLevel="0" collapsed="false">
      <c r="A38" s="4" t="s">
        <v>52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customFormat="false" ht="15" hidden="false" customHeight="true" outlineLevel="0" collapsed="false">
      <c r="A39" s="14" t="s">
        <v>53</v>
      </c>
      <c r="B39" s="21" t="n">
        <v>0.08</v>
      </c>
      <c r="C39" s="21" t="n">
        <v>0.08</v>
      </c>
      <c r="D39" s="21" t="n">
        <v>0.08</v>
      </c>
      <c r="E39" s="21" t="n">
        <v>0.08</v>
      </c>
      <c r="F39" s="21" t="n">
        <v>0.08</v>
      </c>
      <c r="G39" s="21" t="n">
        <v>0.08</v>
      </c>
      <c r="H39" s="21" t="n">
        <v>0.08</v>
      </c>
      <c r="I39" s="21" t="n">
        <v>0.08</v>
      </c>
      <c r="J39" s="21" t="n">
        <v>0.08</v>
      </c>
      <c r="K39" s="21" t="n">
        <v>0.08</v>
      </c>
      <c r="L39" s="21" t="n">
        <v>0.08</v>
      </c>
      <c r="M39" s="21" t="n">
        <v>0.08</v>
      </c>
      <c r="N39" s="21" t="n">
        <v>0.08</v>
      </c>
      <c r="O39" s="21" t="n">
        <v>0.08</v>
      </c>
      <c r="P39" s="21" t="n">
        <v>0.08</v>
      </c>
      <c r="Q39" s="21" t="n">
        <v>0.08</v>
      </c>
      <c r="R39" s="21" t="n">
        <v>0.08</v>
      </c>
      <c r="S39" s="21" t="n">
        <v>0.08</v>
      </c>
      <c r="T39" s="21" t="n">
        <v>0.08</v>
      </c>
      <c r="U39" s="21" t="n">
        <v>0.08</v>
      </c>
      <c r="V39" s="21" t="n">
        <v>0.08</v>
      </c>
      <c r="W39" s="21" t="n">
        <v>0.08</v>
      </c>
      <c r="X39" s="21" t="n">
        <v>0.08</v>
      </c>
      <c r="Y39" s="21" t="n">
        <v>0.08</v>
      </c>
      <c r="Z39" s="21" t="n">
        <v>0.08</v>
      </c>
      <c r="AA39" s="21" t="n">
        <v>0.08</v>
      </c>
      <c r="AB39" s="21" t="n">
        <v>0.08</v>
      </c>
      <c r="AC39" s="21" t="n">
        <v>0.08</v>
      </c>
      <c r="AD39" s="21" t="n">
        <v>0.08</v>
      </c>
      <c r="AE39" s="21" t="n">
        <v>0.08</v>
      </c>
      <c r="AF39" s="21" t="n">
        <v>0.08</v>
      </c>
      <c r="AG39" s="21" t="n">
        <v>0.08</v>
      </c>
      <c r="AH39" s="21" t="n">
        <v>0.08</v>
      </c>
      <c r="AI39" s="21" t="n">
        <v>0.08</v>
      </c>
      <c r="AJ39" s="21" t="n">
        <v>0.08</v>
      </c>
      <c r="AK39" s="21" t="n">
        <v>0.08</v>
      </c>
    </row>
    <row r="40" customFormat="false" ht="15" hidden="false" customHeight="true" outlineLevel="0" collapsed="false">
      <c r="A40" s="10" t="s">
        <v>54</v>
      </c>
      <c r="B40" s="18" t="n">
        <f aca="false">B24*B39</f>
        <v>53333.3333333333</v>
      </c>
      <c r="C40" s="18" t="n">
        <f aca="false">C24*C39</f>
        <v>53333.3333333333</v>
      </c>
      <c r="D40" s="18" t="n">
        <f aca="false">D24*D39</f>
        <v>53333.3333333333</v>
      </c>
      <c r="E40" s="18" t="n">
        <f aca="false">E24*E39</f>
        <v>106666.666666667</v>
      </c>
      <c r="F40" s="18" t="n">
        <f aca="false">F24*F39</f>
        <v>106666.666666667</v>
      </c>
      <c r="G40" s="18" t="n">
        <f aca="false">G24*G39</f>
        <v>106666.666666667</v>
      </c>
      <c r="H40" s="18" t="n">
        <f aca="false">H24*H39</f>
        <v>106666.666666667</v>
      </c>
      <c r="I40" s="18" t="n">
        <f aca="false">I24*I39</f>
        <v>106666.666666667</v>
      </c>
      <c r="J40" s="18" t="n">
        <f aca="false">J24*J39</f>
        <v>106666.666666667</v>
      </c>
      <c r="K40" s="18" t="n">
        <f aca="false">K24*K39</f>
        <v>160000</v>
      </c>
      <c r="L40" s="18" t="n">
        <f aca="false">L24*L39</f>
        <v>160000</v>
      </c>
      <c r="M40" s="18" t="n">
        <f aca="false">M24*M39</f>
        <v>160000</v>
      </c>
      <c r="N40" s="18" t="n">
        <f aca="false">N24*N39</f>
        <v>252666.666666667</v>
      </c>
      <c r="O40" s="18" t="n">
        <f aca="false">O24*O39</f>
        <v>270666.666666667</v>
      </c>
      <c r="P40" s="18" t="n">
        <f aca="false">P24*P39</f>
        <v>288666.666666667</v>
      </c>
      <c r="Q40" s="18" t="n">
        <f aca="false">Q24*Q39</f>
        <v>365333.333333333</v>
      </c>
      <c r="R40" s="18" t="n">
        <f aca="false">R24*R39</f>
        <v>383333.333333333</v>
      </c>
      <c r="S40" s="18" t="n">
        <f aca="false">S24*S39</f>
        <v>401333.333333333</v>
      </c>
      <c r="T40" s="18" t="n">
        <f aca="false">T24*T39</f>
        <v>478000</v>
      </c>
      <c r="U40" s="18" t="n">
        <f aca="false">U24*U39</f>
        <v>496000</v>
      </c>
      <c r="V40" s="18" t="n">
        <f aca="false">V24*V39</f>
        <v>514000</v>
      </c>
      <c r="W40" s="18" t="n">
        <f aca="false">W24*W39</f>
        <v>649333.333333333</v>
      </c>
      <c r="X40" s="18" t="n">
        <f aca="false">X24*X39</f>
        <v>667333.333333333</v>
      </c>
      <c r="Y40" s="18" t="n">
        <f aca="false">Y24*Y39</f>
        <v>685333.333333334</v>
      </c>
      <c r="Z40" s="18" t="n">
        <f aca="false">Z24*Z39</f>
        <v>947733.333333334</v>
      </c>
      <c r="AA40" s="18" t="n">
        <f aca="false">AA24*AA39</f>
        <v>1023333.33333333</v>
      </c>
      <c r="AB40" s="18" t="n">
        <f aca="false">AB24*AB39</f>
        <v>1098933.33333333</v>
      </c>
      <c r="AC40" s="18" t="n">
        <f aca="false">AC24*AC39</f>
        <v>1303600</v>
      </c>
      <c r="AD40" s="18" t="n">
        <f aca="false">AD24*AD39</f>
        <v>1379200</v>
      </c>
      <c r="AE40" s="18" t="n">
        <f aca="false">AE24*AE39</f>
        <v>1454800</v>
      </c>
      <c r="AF40" s="18" t="n">
        <f aca="false">AF24*AF39</f>
        <v>1724000</v>
      </c>
      <c r="AG40" s="18" t="n">
        <f aca="false">AG24*AG39</f>
        <v>1799600</v>
      </c>
      <c r="AH40" s="18" t="n">
        <f aca="false">AH24*AH39</f>
        <v>1875200</v>
      </c>
      <c r="AI40" s="18" t="n">
        <f aca="false">AI24*AI39</f>
        <v>2144400</v>
      </c>
      <c r="AJ40" s="18" t="n">
        <f aca="false">AJ24*AJ39</f>
        <v>2220000</v>
      </c>
      <c r="AK40" s="18" t="n">
        <f aca="false">AK24*AK39</f>
        <v>2295600</v>
      </c>
    </row>
    <row r="41" customFormat="false" ht="15" hidden="false" customHeight="true" outlineLevel="0" collapsed="false">
      <c r="A41" s="14" t="s">
        <v>55</v>
      </c>
      <c r="B41" s="16" t="n">
        <v>300000</v>
      </c>
      <c r="C41" s="16" t="n">
        <v>300000</v>
      </c>
      <c r="D41" s="16" t="n">
        <v>300000</v>
      </c>
      <c r="E41" s="16" t="n">
        <v>300000</v>
      </c>
      <c r="F41" s="16" t="n">
        <v>300000</v>
      </c>
      <c r="G41" s="16" t="n">
        <v>300000</v>
      </c>
      <c r="H41" s="16" t="n">
        <v>300000</v>
      </c>
      <c r="I41" s="16" t="n">
        <v>300000</v>
      </c>
      <c r="J41" s="16" t="n">
        <v>300000</v>
      </c>
      <c r="K41" s="16" t="n">
        <v>300000</v>
      </c>
      <c r="L41" s="16" t="n">
        <v>300000</v>
      </c>
      <c r="M41" s="16" t="n">
        <v>300000</v>
      </c>
      <c r="N41" s="16" t="n">
        <v>330000</v>
      </c>
      <c r="O41" s="16" t="n">
        <v>330000</v>
      </c>
      <c r="P41" s="16" t="n">
        <v>330000</v>
      </c>
      <c r="Q41" s="16" t="n">
        <v>330000</v>
      </c>
      <c r="R41" s="16" t="n">
        <v>330000</v>
      </c>
      <c r="S41" s="16" t="n">
        <v>330000</v>
      </c>
      <c r="T41" s="16" t="n">
        <v>330000</v>
      </c>
      <c r="U41" s="16" t="n">
        <v>330000</v>
      </c>
      <c r="V41" s="16" t="n">
        <v>330000</v>
      </c>
      <c r="W41" s="16" t="n">
        <v>330000</v>
      </c>
      <c r="X41" s="16" t="n">
        <v>330000</v>
      </c>
      <c r="Y41" s="16" t="n">
        <v>330000</v>
      </c>
      <c r="Z41" s="16" t="n">
        <v>363000</v>
      </c>
      <c r="AA41" s="16" t="n">
        <v>363000</v>
      </c>
      <c r="AB41" s="16" t="n">
        <v>363000</v>
      </c>
      <c r="AC41" s="16" t="n">
        <v>363000</v>
      </c>
      <c r="AD41" s="16" t="n">
        <v>363000</v>
      </c>
      <c r="AE41" s="16" t="n">
        <v>363000</v>
      </c>
      <c r="AF41" s="16" t="n">
        <v>363000</v>
      </c>
      <c r="AG41" s="16" t="n">
        <v>363000</v>
      </c>
      <c r="AH41" s="16" t="n">
        <v>363000</v>
      </c>
      <c r="AI41" s="16" t="n">
        <v>363000</v>
      </c>
      <c r="AJ41" s="16" t="n">
        <v>363000</v>
      </c>
      <c r="AK41" s="16" t="n">
        <v>363000</v>
      </c>
    </row>
    <row r="43" customFormat="false" ht="15" hidden="false" customHeight="true" outlineLevel="0" collapsed="false">
      <c r="A43" s="4" t="s">
        <v>56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customFormat="false" ht="15" hidden="false" customHeight="true" outlineLevel="0" collapsed="false">
      <c r="A44" s="14" t="s">
        <v>57</v>
      </c>
      <c r="B44" s="21" t="n">
        <v>0.29</v>
      </c>
      <c r="C44" s="21" t="n">
        <v>0.29</v>
      </c>
      <c r="D44" s="21" t="n">
        <v>0.29</v>
      </c>
      <c r="E44" s="21" t="n">
        <v>0.29</v>
      </c>
      <c r="F44" s="21" t="n">
        <v>0.29</v>
      </c>
      <c r="G44" s="21" t="n">
        <v>0.29</v>
      </c>
      <c r="H44" s="21" t="n">
        <v>0.29</v>
      </c>
      <c r="I44" s="21" t="n">
        <v>0.29</v>
      </c>
      <c r="J44" s="21" t="n">
        <v>0.29</v>
      </c>
      <c r="K44" s="21" t="n">
        <v>0.29</v>
      </c>
      <c r="L44" s="21" t="n">
        <v>0.29</v>
      </c>
      <c r="M44" s="21" t="n">
        <v>0.29</v>
      </c>
      <c r="N44" s="21" t="n">
        <v>0.29</v>
      </c>
      <c r="O44" s="21" t="n">
        <v>0.29</v>
      </c>
      <c r="P44" s="21" t="n">
        <v>0.29</v>
      </c>
      <c r="Q44" s="21" t="n">
        <v>0.29</v>
      </c>
      <c r="R44" s="21" t="n">
        <v>0.29</v>
      </c>
      <c r="S44" s="21" t="n">
        <v>0.29</v>
      </c>
      <c r="T44" s="21" t="n">
        <v>0.29</v>
      </c>
      <c r="U44" s="21" t="n">
        <v>0.29</v>
      </c>
      <c r="V44" s="21" t="n">
        <v>0.29</v>
      </c>
      <c r="W44" s="21" t="n">
        <v>0.29</v>
      </c>
      <c r="X44" s="21" t="n">
        <v>0.29</v>
      </c>
      <c r="Y44" s="21" t="n">
        <v>0.29</v>
      </c>
      <c r="Z44" s="21" t="n">
        <v>0.29</v>
      </c>
      <c r="AA44" s="21" t="n">
        <v>0.29</v>
      </c>
      <c r="AB44" s="21" t="n">
        <v>0.29</v>
      </c>
      <c r="AC44" s="21" t="n">
        <v>0.29</v>
      </c>
      <c r="AD44" s="21" t="n">
        <v>0.29</v>
      </c>
      <c r="AE44" s="21" t="n">
        <v>0.29</v>
      </c>
      <c r="AF44" s="21" t="n">
        <v>0.29</v>
      </c>
      <c r="AG44" s="21" t="n">
        <v>0.29</v>
      </c>
      <c r="AH44" s="21" t="n">
        <v>0.29</v>
      </c>
      <c r="AI44" s="21" t="n">
        <v>0.29</v>
      </c>
      <c r="AJ44" s="21" t="n">
        <v>0.29</v>
      </c>
      <c r="AK44" s="21" t="n">
        <v>0.29</v>
      </c>
    </row>
    <row r="46" customFormat="false" ht="15" hidden="false" customHeight="true" outlineLevel="0" collapsed="false">
      <c r="A46" s="4" t="s">
        <v>58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customFormat="false" ht="15" hidden="false" customHeight="true" outlineLevel="0" collapsed="false">
      <c r="A47" s="14" t="s">
        <v>59</v>
      </c>
      <c r="B47" s="22" t="n">
        <v>30</v>
      </c>
      <c r="C47" s="22" t="n">
        <v>30</v>
      </c>
      <c r="D47" s="22" t="n">
        <v>30</v>
      </c>
      <c r="E47" s="22" t="n">
        <v>30</v>
      </c>
      <c r="F47" s="22" t="n">
        <v>30</v>
      </c>
      <c r="G47" s="22" t="n">
        <v>30</v>
      </c>
      <c r="H47" s="22" t="n">
        <v>30</v>
      </c>
      <c r="I47" s="22" t="n">
        <v>30</v>
      </c>
      <c r="J47" s="22" t="n">
        <v>30</v>
      </c>
      <c r="K47" s="22" t="n">
        <v>30</v>
      </c>
      <c r="L47" s="22" t="n">
        <v>30</v>
      </c>
      <c r="M47" s="22" t="n">
        <v>30</v>
      </c>
      <c r="N47" s="22" t="n">
        <v>30</v>
      </c>
      <c r="O47" s="22" t="n">
        <v>30</v>
      </c>
      <c r="P47" s="22" t="n">
        <v>30</v>
      </c>
      <c r="Q47" s="22" t="n">
        <v>30</v>
      </c>
      <c r="R47" s="22" t="n">
        <v>30</v>
      </c>
      <c r="S47" s="22" t="n">
        <v>30</v>
      </c>
      <c r="T47" s="22" t="n">
        <v>30</v>
      </c>
      <c r="U47" s="22" t="n">
        <v>30</v>
      </c>
      <c r="V47" s="22" t="n">
        <v>30</v>
      </c>
      <c r="W47" s="22" t="n">
        <v>30</v>
      </c>
      <c r="X47" s="22" t="n">
        <v>30</v>
      </c>
      <c r="Y47" s="22" t="n">
        <v>30</v>
      </c>
      <c r="Z47" s="22" t="n">
        <v>30</v>
      </c>
      <c r="AA47" s="22" t="n">
        <v>30</v>
      </c>
      <c r="AB47" s="22" t="n">
        <v>30</v>
      </c>
      <c r="AC47" s="22" t="n">
        <v>30</v>
      </c>
      <c r="AD47" s="22" t="n">
        <v>30</v>
      </c>
      <c r="AE47" s="22" t="n">
        <v>30</v>
      </c>
      <c r="AF47" s="22" t="n">
        <v>30</v>
      </c>
      <c r="AG47" s="22" t="n">
        <v>30</v>
      </c>
      <c r="AH47" s="22" t="n">
        <v>30</v>
      </c>
      <c r="AI47" s="22" t="n">
        <v>30</v>
      </c>
      <c r="AJ47" s="22" t="n">
        <v>30</v>
      </c>
      <c r="AK47" s="22" t="n">
        <v>30</v>
      </c>
    </row>
    <row r="48" customFormat="false" ht="15" hidden="false" customHeight="true" outlineLevel="0" collapsed="false">
      <c r="A48" s="14" t="s">
        <v>60</v>
      </c>
      <c r="B48" s="22" t="n">
        <v>20</v>
      </c>
      <c r="C48" s="22" t="n">
        <v>20</v>
      </c>
      <c r="D48" s="22" t="n">
        <v>20</v>
      </c>
      <c r="E48" s="22" t="n">
        <v>20</v>
      </c>
      <c r="F48" s="22" t="n">
        <v>20</v>
      </c>
      <c r="G48" s="22" t="n">
        <v>20</v>
      </c>
      <c r="H48" s="22" t="n">
        <v>20</v>
      </c>
      <c r="I48" s="22" t="n">
        <v>20</v>
      </c>
      <c r="J48" s="22" t="n">
        <v>20</v>
      </c>
      <c r="K48" s="22" t="n">
        <v>20</v>
      </c>
      <c r="L48" s="22" t="n">
        <v>20</v>
      </c>
      <c r="M48" s="22" t="n">
        <v>20</v>
      </c>
      <c r="N48" s="22" t="n">
        <v>20</v>
      </c>
      <c r="O48" s="22" t="n">
        <v>20</v>
      </c>
      <c r="P48" s="22" t="n">
        <v>20</v>
      </c>
      <c r="Q48" s="22" t="n">
        <v>20</v>
      </c>
      <c r="R48" s="22" t="n">
        <v>20</v>
      </c>
      <c r="S48" s="22" t="n">
        <v>20</v>
      </c>
      <c r="T48" s="22" t="n">
        <v>20</v>
      </c>
      <c r="U48" s="22" t="n">
        <v>20</v>
      </c>
      <c r="V48" s="22" t="n">
        <v>20</v>
      </c>
      <c r="W48" s="22" t="n">
        <v>20</v>
      </c>
      <c r="X48" s="22" t="n">
        <v>20</v>
      </c>
      <c r="Y48" s="22" t="n">
        <v>20</v>
      </c>
      <c r="Z48" s="22" t="n">
        <v>20</v>
      </c>
      <c r="AA48" s="22" t="n">
        <v>20</v>
      </c>
      <c r="AB48" s="22" t="n">
        <v>20</v>
      </c>
      <c r="AC48" s="22" t="n">
        <v>20</v>
      </c>
      <c r="AD48" s="22" t="n">
        <v>20</v>
      </c>
      <c r="AE48" s="22" t="n">
        <v>20</v>
      </c>
      <c r="AF48" s="22" t="n">
        <v>20</v>
      </c>
      <c r="AG48" s="22" t="n">
        <v>20</v>
      </c>
      <c r="AH48" s="22" t="n">
        <v>20</v>
      </c>
      <c r="AI48" s="22" t="n">
        <v>20</v>
      </c>
      <c r="AJ48" s="22" t="n">
        <v>20</v>
      </c>
      <c r="AK48" s="22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7" min="2" style="1" width="11"/>
  </cols>
  <sheetData>
    <row r="1" customFormat="false" ht="17.25" hidden="false" customHeight="true" outlineLevel="0" collapsed="false">
      <c r="A1" s="12" t="s">
        <v>61</v>
      </c>
    </row>
    <row r="2" customFormat="false" ht="15" hidden="false" customHeight="true" outlineLevel="0" collapsed="false">
      <c r="A2" s="3" t="s">
        <v>62</v>
      </c>
    </row>
    <row r="4" customFormat="false" ht="15" hidden="false" customHeight="true" outlineLevel="0" collapsed="false">
      <c r="A4" s="14" t="s">
        <v>27</v>
      </c>
      <c r="B4" s="15" t="n">
        <v>1</v>
      </c>
      <c r="C4" s="15" t="n">
        <v>1</v>
      </c>
      <c r="D4" s="15" t="n">
        <v>1</v>
      </c>
      <c r="E4" s="15" t="n">
        <v>1</v>
      </c>
      <c r="F4" s="15" t="n">
        <v>1</v>
      </c>
      <c r="G4" s="15" t="n">
        <v>1</v>
      </c>
      <c r="H4" s="15" t="n">
        <v>1</v>
      </c>
      <c r="I4" s="15" t="n">
        <v>1</v>
      </c>
      <c r="J4" s="15" t="n">
        <v>1</v>
      </c>
      <c r="K4" s="15" t="n">
        <v>1</v>
      </c>
      <c r="L4" s="15" t="n">
        <v>1</v>
      </c>
      <c r="M4" s="15" t="n">
        <v>1</v>
      </c>
      <c r="N4" s="15" t="n">
        <v>2</v>
      </c>
      <c r="O4" s="15" t="n">
        <v>2</v>
      </c>
      <c r="P4" s="15" t="n">
        <v>2</v>
      </c>
      <c r="Q4" s="15" t="n">
        <v>2</v>
      </c>
      <c r="R4" s="15" t="n">
        <v>2</v>
      </c>
      <c r="S4" s="15" t="n">
        <v>2</v>
      </c>
      <c r="T4" s="15" t="n">
        <v>2</v>
      </c>
      <c r="U4" s="15" t="n">
        <v>2</v>
      </c>
      <c r="V4" s="15" t="n">
        <v>2</v>
      </c>
      <c r="W4" s="15" t="n">
        <v>2</v>
      </c>
      <c r="X4" s="15" t="n">
        <v>2</v>
      </c>
      <c r="Y4" s="15" t="n">
        <v>2</v>
      </c>
      <c r="Z4" s="15" t="n">
        <v>3</v>
      </c>
      <c r="AA4" s="15" t="n">
        <v>3</v>
      </c>
      <c r="AB4" s="15" t="n">
        <v>3</v>
      </c>
      <c r="AC4" s="15" t="n">
        <v>3</v>
      </c>
      <c r="AD4" s="15" t="n">
        <v>3</v>
      </c>
      <c r="AE4" s="15" t="n">
        <v>3</v>
      </c>
      <c r="AF4" s="15" t="n">
        <v>3</v>
      </c>
      <c r="AG4" s="15" t="n">
        <v>3</v>
      </c>
      <c r="AH4" s="15" t="n">
        <v>3</v>
      </c>
      <c r="AI4" s="15" t="n">
        <v>3</v>
      </c>
      <c r="AJ4" s="15" t="n">
        <v>3</v>
      </c>
      <c r="AK4" s="15" t="n">
        <v>3</v>
      </c>
    </row>
    <row r="5" customFormat="false" ht="15" hidden="false" customHeight="true" outlineLevel="0" collapsed="false">
      <c r="A5" s="14" t="s">
        <v>28</v>
      </c>
      <c r="B5" s="15" t="n">
        <v>1</v>
      </c>
      <c r="C5" s="15" t="n">
        <v>2</v>
      </c>
      <c r="D5" s="15" t="n">
        <v>3</v>
      </c>
      <c r="E5" s="15" t="n">
        <v>4</v>
      </c>
      <c r="F5" s="15" t="n">
        <v>5</v>
      </c>
      <c r="G5" s="15" t="n">
        <v>6</v>
      </c>
      <c r="H5" s="15" t="n">
        <v>7</v>
      </c>
      <c r="I5" s="15" t="n">
        <v>8</v>
      </c>
      <c r="J5" s="15" t="n">
        <v>9</v>
      </c>
      <c r="K5" s="15" t="n">
        <v>10</v>
      </c>
      <c r="L5" s="15" t="n">
        <v>11</v>
      </c>
      <c r="M5" s="15" t="n">
        <v>12</v>
      </c>
      <c r="N5" s="15" t="n">
        <v>13</v>
      </c>
      <c r="O5" s="15" t="n">
        <v>14</v>
      </c>
      <c r="P5" s="15" t="n">
        <v>15</v>
      </c>
      <c r="Q5" s="15" t="n">
        <v>16</v>
      </c>
      <c r="R5" s="15" t="n">
        <v>17</v>
      </c>
      <c r="S5" s="15" t="n">
        <v>18</v>
      </c>
      <c r="T5" s="15" t="n">
        <v>19</v>
      </c>
      <c r="U5" s="15" t="n">
        <v>20</v>
      </c>
      <c r="V5" s="15" t="n">
        <v>21</v>
      </c>
      <c r="W5" s="15" t="n">
        <v>22</v>
      </c>
      <c r="X5" s="15" t="n">
        <v>23</v>
      </c>
      <c r="Y5" s="15" t="n">
        <v>24</v>
      </c>
      <c r="Z5" s="15" t="n">
        <v>25</v>
      </c>
      <c r="AA5" s="15" t="n">
        <v>26</v>
      </c>
      <c r="AB5" s="15" t="n">
        <v>27</v>
      </c>
      <c r="AC5" s="15" t="n">
        <v>28</v>
      </c>
      <c r="AD5" s="15" t="n">
        <v>29</v>
      </c>
      <c r="AE5" s="15" t="n">
        <v>30</v>
      </c>
      <c r="AF5" s="15" t="n">
        <v>31</v>
      </c>
      <c r="AG5" s="15" t="n">
        <v>32</v>
      </c>
      <c r="AH5" s="15" t="n">
        <v>33</v>
      </c>
      <c r="AI5" s="15" t="n">
        <v>34</v>
      </c>
      <c r="AJ5" s="15" t="n">
        <v>35</v>
      </c>
      <c r="AK5" s="15" t="n">
        <v>36</v>
      </c>
    </row>
    <row r="7" customFormat="false" ht="15" hidden="false" customHeight="true" outlineLevel="0" collapsed="false">
      <c r="A7" s="4" t="s">
        <v>63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customFormat="false" ht="15" hidden="false" customHeight="true" outlineLevel="0" collapsed="false">
      <c r="A8" s="10" t="s">
        <v>64</v>
      </c>
      <c r="B8" s="17" t="n">
        <v>1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  <c r="K8" s="17" t="n">
        <v>1</v>
      </c>
      <c r="L8" s="17" t="n">
        <v>1</v>
      </c>
      <c r="M8" s="17" t="n">
        <v>1</v>
      </c>
      <c r="N8" s="17" t="n">
        <v>1</v>
      </c>
      <c r="O8" s="17" t="n">
        <v>1</v>
      </c>
      <c r="P8" s="17" t="n">
        <v>1</v>
      </c>
      <c r="Q8" s="17" t="n">
        <v>1</v>
      </c>
      <c r="R8" s="17" t="n">
        <v>1</v>
      </c>
      <c r="S8" s="17" t="n">
        <v>1</v>
      </c>
      <c r="T8" s="17" t="n">
        <v>1</v>
      </c>
      <c r="U8" s="17" t="n">
        <v>1</v>
      </c>
      <c r="V8" s="17" t="n">
        <v>1</v>
      </c>
      <c r="W8" s="17" t="n">
        <v>1</v>
      </c>
      <c r="X8" s="17" t="n">
        <v>1</v>
      </c>
      <c r="Y8" s="17" t="n">
        <v>1</v>
      </c>
      <c r="Z8" s="17" t="n">
        <v>1</v>
      </c>
      <c r="AA8" s="17" t="n">
        <v>1</v>
      </c>
      <c r="AB8" s="17" t="n">
        <v>1</v>
      </c>
      <c r="AC8" s="17" t="n">
        <v>1</v>
      </c>
      <c r="AD8" s="17" t="n">
        <v>1</v>
      </c>
      <c r="AE8" s="17" t="n">
        <v>1</v>
      </c>
      <c r="AF8" s="17" t="n">
        <v>1</v>
      </c>
      <c r="AG8" s="17" t="n">
        <v>1</v>
      </c>
      <c r="AH8" s="17" t="n">
        <v>1</v>
      </c>
      <c r="AI8" s="17" t="n">
        <v>1</v>
      </c>
      <c r="AJ8" s="17" t="n">
        <v>1</v>
      </c>
      <c r="AK8" s="17" t="n">
        <v>1</v>
      </c>
    </row>
    <row r="9" customFormat="false" ht="15" hidden="false" customHeight="true" outlineLevel="0" collapsed="false">
      <c r="A9" s="10" t="s">
        <v>65</v>
      </c>
      <c r="B9" s="17" t="n">
        <v>1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  <c r="K9" s="17" t="n">
        <v>1</v>
      </c>
      <c r="L9" s="17" t="n">
        <v>1</v>
      </c>
      <c r="M9" s="17" t="n">
        <v>1</v>
      </c>
      <c r="N9" s="17" t="n">
        <v>2</v>
      </c>
      <c r="O9" s="17" t="n">
        <v>2</v>
      </c>
      <c r="P9" s="17" t="n">
        <v>2</v>
      </c>
      <c r="Q9" s="17" t="n">
        <v>2</v>
      </c>
      <c r="R9" s="17" t="n">
        <v>2</v>
      </c>
      <c r="S9" s="17" t="n">
        <v>2</v>
      </c>
      <c r="T9" s="17" t="n">
        <v>2</v>
      </c>
      <c r="U9" s="17" t="n">
        <v>2</v>
      </c>
      <c r="V9" s="17" t="n">
        <v>2</v>
      </c>
      <c r="W9" s="17" t="n">
        <v>2</v>
      </c>
      <c r="X9" s="17" t="n">
        <v>2</v>
      </c>
      <c r="Y9" s="17" t="n">
        <v>2</v>
      </c>
      <c r="Z9" s="17" t="n">
        <v>3</v>
      </c>
      <c r="AA9" s="17" t="n">
        <v>3</v>
      </c>
      <c r="AB9" s="17" t="n">
        <v>3</v>
      </c>
      <c r="AC9" s="17" t="n">
        <v>3</v>
      </c>
      <c r="AD9" s="17" t="n">
        <v>3</v>
      </c>
      <c r="AE9" s="17" t="n">
        <v>3</v>
      </c>
      <c r="AF9" s="17" t="n">
        <v>3</v>
      </c>
      <c r="AG9" s="17" t="n">
        <v>3</v>
      </c>
      <c r="AH9" s="17" t="n">
        <v>3</v>
      </c>
      <c r="AI9" s="17" t="n">
        <v>3</v>
      </c>
      <c r="AJ9" s="17" t="n">
        <v>3</v>
      </c>
      <c r="AK9" s="17" t="n">
        <v>3</v>
      </c>
    </row>
    <row r="10" customFormat="false" ht="15" hidden="false" customHeight="true" outlineLevel="0" collapsed="false">
      <c r="A10" s="10" t="s">
        <v>66</v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17" t="n">
        <v>2</v>
      </c>
      <c r="O10" s="17" t="n">
        <v>2</v>
      </c>
      <c r="P10" s="17" t="n">
        <v>2</v>
      </c>
      <c r="Q10" s="17" t="n">
        <v>2</v>
      </c>
      <c r="R10" s="17" t="n">
        <v>2</v>
      </c>
      <c r="S10" s="17" t="n">
        <v>2</v>
      </c>
      <c r="T10" s="17" t="n">
        <v>2</v>
      </c>
      <c r="U10" s="17" t="n">
        <v>2</v>
      </c>
      <c r="V10" s="17" t="n">
        <v>2</v>
      </c>
      <c r="W10" s="17" t="n">
        <v>2</v>
      </c>
      <c r="X10" s="17" t="n">
        <v>2</v>
      </c>
      <c r="Y10" s="17" t="n">
        <v>2</v>
      </c>
      <c r="Z10" s="17" t="n">
        <v>3</v>
      </c>
      <c r="AA10" s="17" t="n">
        <v>3</v>
      </c>
      <c r="AB10" s="17" t="n">
        <v>3</v>
      </c>
      <c r="AC10" s="17" t="n">
        <v>3</v>
      </c>
      <c r="AD10" s="17" t="n">
        <v>3</v>
      </c>
      <c r="AE10" s="17" t="n">
        <v>3</v>
      </c>
      <c r="AF10" s="17" t="n">
        <v>3</v>
      </c>
      <c r="AG10" s="17" t="n">
        <v>3</v>
      </c>
      <c r="AH10" s="17" t="n">
        <v>3</v>
      </c>
      <c r="AI10" s="17" t="n">
        <v>3</v>
      </c>
      <c r="AJ10" s="17" t="n">
        <v>3</v>
      </c>
      <c r="AK10" s="17" t="n">
        <v>3</v>
      </c>
    </row>
    <row r="11" customFormat="false" ht="15" hidden="false" customHeight="true" outlineLevel="0" collapsed="false">
      <c r="A11" s="10" t="s">
        <v>67</v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</v>
      </c>
      <c r="O11" s="17" t="n">
        <v>1</v>
      </c>
      <c r="P11" s="17" t="n">
        <v>1</v>
      </c>
      <c r="Q11" s="17" t="n">
        <v>1</v>
      </c>
      <c r="R11" s="17" t="n">
        <v>1</v>
      </c>
      <c r="S11" s="17" t="n">
        <v>1</v>
      </c>
      <c r="T11" s="17" t="n">
        <v>1</v>
      </c>
      <c r="U11" s="17" t="n">
        <v>1</v>
      </c>
      <c r="V11" s="17" t="n">
        <v>1</v>
      </c>
      <c r="W11" s="17" t="n">
        <v>1</v>
      </c>
      <c r="X11" s="17" t="n">
        <v>1</v>
      </c>
      <c r="Y11" s="17" t="n">
        <v>1</v>
      </c>
      <c r="Z11" s="17" t="n">
        <v>2</v>
      </c>
      <c r="AA11" s="17" t="n">
        <v>2</v>
      </c>
      <c r="AB11" s="17" t="n">
        <v>2</v>
      </c>
      <c r="AC11" s="17" t="n">
        <v>2</v>
      </c>
      <c r="AD11" s="17" t="n">
        <v>2</v>
      </c>
      <c r="AE11" s="17" t="n">
        <v>2</v>
      </c>
      <c r="AF11" s="17" t="n">
        <v>2</v>
      </c>
      <c r="AG11" s="17" t="n">
        <v>2</v>
      </c>
      <c r="AH11" s="17" t="n">
        <v>2</v>
      </c>
      <c r="AI11" s="17" t="n">
        <v>2</v>
      </c>
      <c r="AJ11" s="17" t="n">
        <v>2</v>
      </c>
      <c r="AK11" s="17" t="n">
        <v>2</v>
      </c>
    </row>
    <row r="12" customFormat="false" ht="15" hidden="false" customHeight="true" outlineLevel="0" collapsed="false">
      <c r="A12" s="10" t="s">
        <v>68</v>
      </c>
      <c r="B12" s="17" t="n">
        <v>1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  <c r="K12" s="17" t="n">
        <v>1</v>
      </c>
      <c r="L12" s="17" t="n">
        <v>1</v>
      </c>
      <c r="M12" s="17" t="n">
        <v>1</v>
      </c>
      <c r="N12" s="17" t="n">
        <v>1</v>
      </c>
      <c r="O12" s="17" t="n">
        <v>1</v>
      </c>
      <c r="P12" s="17" t="n">
        <v>1</v>
      </c>
      <c r="Q12" s="17" t="n">
        <v>1</v>
      </c>
      <c r="R12" s="17" t="n">
        <v>1</v>
      </c>
      <c r="S12" s="17" t="n">
        <v>1</v>
      </c>
      <c r="T12" s="17" t="n">
        <v>1</v>
      </c>
      <c r="U12" s="17" t="n">
        <v>1</v>
      </c>
      <c r="V12" s="17" t="n">
        <v>1</v>
      </c>
      <c r="W12" s="17" t="n">
        <v>1</v>
      </c>
      <c r="X12" s="17" t="n">
        <v>1</v>
      </c>
      <c r="Y12" s="17" t="n">
        <v>1</v>
      </c>
      <c r="Z12" s="17" t="n">
        <v>1</v>
      </c>
      <c r="AA12" s="17" t="n">
        <v>1</v>
      </c>
      <c r="AB12" s="17" t="n">
        <v>1</v>
      </c>
      <c r="AC12" s="17" t="n">
        <v>1</v>
      </c>
      <c r="AD12" s="17" t="n">
        <v>1</v>
      </c>
      <c r="AE12" s="17" t="n">
        <v>1</v>
      </c>
      <c r="AF12" s="17" t="n">
        <v>1</v>
      </c>
      <c r="AG12" s="17" t="n">
        <v>1</v>
      </c>
      <c r="AH12" s="17" t="n">
        <v>1</v>
      </c>
      <c r="AI12" s="17" t="n">
        <v>1</v>
      </c>
      <c r="AJ12" s="17" t="n">
        <v>1</v>
      </c>
      <c r="AK12" s="17" t="n">
        <v>1</v>
      </c>
    </row>
    <row r="14" customFormat="false" ht="15" hidden="false" customHeight="true" outlineLevel="0" collapsed="false">
      <c r="A14" s="4" t="s">
        <v>69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customFormat="false" ht="15" hidden="false" customHeight="true" outlineLevel="0" collapsed="false">
      <c r="A15" s="10" t="s">
        <v>64</v>
      </c>
      <c r="B15" s="16" t="n">
        <v>400000</v>
      </c>
      <c r="C15" s="16" t="n">
        <v>400000</v>
      </c>
      <c r="D15" s="16" t="n">
        <v>400000</v>
      </c>
      <c r="E15" s="16" t="n">
        <v>400000</v>
      </c>
      <c r="F15" s="16" t="n">
        <v>400000</v>
      </c>
      <c r="G15" s="16" t="n">
        <v>400000</v>
      </c>
      <c r="H15" s="16" t="n">
        <v>400000</v>
      </c>
      <c r="I15" s="16" t="n">
        <v>400000</v>
      </c>
      <c r="J15" s="16" t="n">
        <v>400000</v>
      </c>
      <c r="K15" s="16" t="n">
        <v>400000</v>
      </c>
      <c r="L15" s="16" t="n">
        <v>400000</v>
      </c>
      <c r="M15" s="16" t="n">
        <v>400000</v>
      </c>
      <c r="N15" s="16" t="n">
        <v>440000</v>
      </c>
      <c r="O15" s="16" t="n">
        <v>440000</v>
      </c>
      <c r="P15" s="16" t="n">
        <v>440000</v>
      </c>
      <c r="Q15" s="16" t="n">
        <v>440000</v>
      </c>
      <c r="R15" s="16" t="n">
        <v>440000</v>
      </c>
      <c r="S15" s="16" t="n">
        <v>440000</v>
      </c>
      <c r="T15" s="16" t="n">
        <v>440000</v>
      </c>
      <c r="U15" s="16" t="n">
        <v>440000</v>
      </c>
      <c r="V15" s="16" t="n">
        <v>440000</v>
      </c>
      <c r="W15" s="16" t="n">
        <v>440000</v>
      </c>
      <c r="X15" s="16" t="n">
        <v>440000</v>
      </c>
      <c r="Y15" s="16" t="n">
        <v>440000</v>
      </c>
      <c r="Z15" s="16" t="n">
        <v>484000</v>
      </c>
      <c r="AA15" s="16" t="n">
        <v>484000</v>
      </c>
      <c r="AB15" s="16" t="n">
        <v>484000</v>
      </c>
      <c r="AC15" s="16" t="n">
        <v>484000</v>
      </c>
      <c r="AD15" s="16" t="n">
        <v>484000</v>
      </c>
      <c r="AE15" s="16" t="n">
        <v>484000</v>
      </c>
      <c r="AF15" s="16" t="n">
        <v>484000</v>
      </c>
      <c r="AG15" s="16" t="n">
        <v>484000</v>
      </c>
      <c r="AH15" s="16" t="n">
        <v>484000</v>
      </c>
      <c r="AI15" s="16" t="n">
        <v>484000</v>
      </c>
      <c r="AJ15" s="16" t="n">
        <v>484000</v>
      </c>
      <c r="AK15" s="16" t="n">
        <v>484000</v>
      </c>
    </row>
    <row r="16" customFormat="false" ht="15" hidden="false" customHeight="true" outlineLevel="0" collapsed="false">
      <c r="A16" s="10" t="s">
        <v>65</v>
      </c>
      <c r="B16" s="16" t="n">
        <v>300000</v>
      </c>
      <c r="C16" s="16" t="n">
        <v>300000</v>
      </c>
      <c r="D16" s="16" t="n">
        <v>300000</v>
      </c>
      <c r="E16" s="16" t="n">
        <v>300000</v>
      </c>
      <c r="F16" s="16" t="n">
        <v>300000</v>
      </c>
      <c r="G16" s="16" t="n">
        <v>300000</v>
      </c>
      <c r="H16" s="16" t="n">
        <v>300000</v>
      </c>
      <c r="I16" s="16" t="n">
        <v>300000</v>
      </c>
      <c r="J16" s="16" t="n">
        <v>300000</v>
      </c>
      <c r="K16" s="16" t="n">
        <v>300000</v>
      </c>
      <c r="L16" s="16" t="n">
        <v>300000</v>
      </c>
      <c r="M16" s="16" t="n">
        <v>300000</v>
      </c>
      <c r="N16" s="16" t="n">
        <v>330000</v>
      </c>
      <c r="O16" s="16" t="n">
        <v>330000</v>
      </c>
      <c r="P16" s="16" t="n">
        <v>330000</v>
      </c>
      <c r="Q16" s="16" t="n">
        <v>330000</v>
      </c>
      <c r="R16" s="16" t="n">
        <v>330000</v>
      </c>
      <c r="S16" s="16" t="n">
        <v>330000</v>
      </c>
      <c r="T16" s="16" t="n">
        <v>330000</v>
      </c>
      <c r="U16" s="16" t="n">
        <v>330000</v>
      </c>
      <c r="V16" s="16" t="n">
        <v>330000</v>
      </c>
      <c r="W16" s="16" t="n">
        <v>330000</v>
      </c>
      <c r="X16" s="16" t="n">
        <v>330000</v>
      </c>
      <c r="Y16" s="16" t="n">
        <v>330000</v>
      </c>
      <c r="Z16" s="16" t="n">
        <v>363000</v>
      </c>
      <c r="AA16" s="16" t="n">
        <v>363000</v>
      </c>
      <c r="AB16" s="16" t="n">
        <v>363000</v>
      </c>
      <c r="AC16" s="16" t="n">
        <v>363000</v>
      </c>
      <c r="AD16" s="16" t="n">
        <v>363000</v>
      </c>
      <c r="AE16" s="16" t="n">
        <v>363000</v>
      </c>
      <c r="AF16" s="16" t="n">
        <v>363000</v>
      </c>
      <c r="AG16" s="16" t="n">
        <v>363000</v>
      </c>
      <c r="AH16" s="16" t="n">
        <v>363000</v>
      </c>
      <c r="AI16" s="16" t="n">
        <v>363000</v>
      </c>
      <c r="AJ16" s="16" t="n">
        <v>363000</v>
      </c>
      <c r="AK16" s="16" t="n">
        <v>363000</v>
      </c>
    </row>
    <row r="17" customFormat="false" ht="15" hidden="false" customHeight="true" outlineLevel="0" collapsed="false">
      <c r="A17" s="10" t="s">
        <v>66</v>
      </c>
      <c r="B17" s="16" t="n">
        <v>250000</v>
      </c>
      <c r="C17" s="16" t="n">
        <v>250000</v>
      </c>
      <c r="D17" s="16" t="n">
        <v>250000</v>
      </c>
      <c r="E17" s="16" t="n">
        <v>250000</v>
      </c>
      <c r="F17" s="16" t="n">
        <v>250000</v>
      </c>
      <c r="G17" s="16" t="n">
        <v>250000</v>
      </c>
      <c r="H17" s="16" t="n">
        <v>250000</v>
      </c>
      <c r="I17" s="16" t="n">
        <v>250000</v>
      </c>
      <c r="J17" s="16" t="n">
        <v>250000</v>
      </c>
      <c r="K17" s="16" t="n">
        <v>250000</v>
      </c>
      <c r="L17" s="16" t="n">
        <v>250000</v>
      </c>
      <c r="M17" s="16" t="n">
        <v>250000</v>
      </c>
      <c r="N17" s="16" t="n">
        <v>275000</v>
      </c>
      <c r="O17" s="16" t="n">
        <v>275000</v>
      </c>
      <c r="P17" s="16" t="n">
        <v>275000</v>
      </c>
      <c r="Q17" s="16" t="n">
        <v>275000</v>
      </c>
      <c r="R17" s="16" t="n">
        <v>275000</v>
      </c>
      <c r="S17" s="16" t="n">
        <v>275000</v>
      </c>
      <c r="T17" s="16" t="n">
        <v>275000</v>
      </c>
      <c r="U17" s="16" t="n">
        <v>275000</v>
      </c>
      <c r="V17" s="16" t="n">
        <v>275000</v>
      </c>
      <c r="W17" s="16" t="n">
        <v>275000</v>
      </c>
      <c r="X17" s="16" t="n">
        <v>275000</v>
      </c>
      <c r="Y17" s="16" t="n">
        <v>275000</v>
      </c>
      <c r="Z17" s="16" t="n">
        <v>302500</v>
      </c>
      <c r="AA17" s="16" t="n">
        <v>302500</v>
      </c>
      <c r="AB17" s="16" t="n">
        <v>302500</v>
      </c>
      <c r="AC17" s="16" t="n">
        <v>302500</v>
      </c>
      <c r="AD17" s="16" t="n">
        <v>302500</v>
      </c>
      <c r="AE17" s="16" t="n">
        <v>302500</v>
      </c>
      <c r="AF17" s="16" t="n">
        <v>302500</v>
      </c>
      <c r="AG17" s="16" t="n">
        <v>302500</v>
      </c>
      <c r="AH17" s="16" t="n">
        <v>302500</v>
      </c>
      <c r="AI17" s="16" t="n">
        <v>302500</v>
      </c>
      <c r="AJ17" s="16" t="n">
        <v>302500</v>
      </c>
      <c r="AK17" s="16" t="n">
        <v>302500</v>
      </c>
    </row>
    <row r="18" customFormat="false" ht="15" hidden="false" customHeight="true" outlineLevel="0" collapsed="false">
      <c r="A18" s="10" t="s">
        <v>67</v>
      </c>
      <c r="B18" s="16" t="n">
        <v>200000</v>
      </c>
      <c r="C18" s="16" t="n">
        <v>200000</v>
      </c>
      <c r="D18" s="16" t="n">
        <v>200000</v>
      </c>
      <c r="E18" s="16" t="n">
        <v>200000</v>
      </c>
      <c r="F18" s="16" t="n">
        <v>200000</v>
      </c>
      <c r="G18" s="16" t="n">
        <v>200000</v>
      </c>
      <c r="H18" s="16" t="n">
        <v>200000</v>
      </c>
      <c r="I18" s="16" t="n">
        <v>200000</v>
      </c>
      <c r="J18" s="16" t="n">
        <v>200000</v>
      </c>
      <c r="K18" s="16" t="n">
        <v>200000</v>
      </c>
      <c r="L18" s="16" t="n">
        <v>200000</v>
      </c>
      <c r="M18" s="16" t="n">
        <v>200000</v>
      </c>
      <c r="N18" s="16" t="n">
        <v>220000</v>
      </c>
      <c r="O18" s="16" t="n">
        <v>220000</v>
      </c>
      <c r="P18" s="16" t="n">
        <v>220000</v>
      </c>
      <c r="Q18" s="16" t="n">
        <v>220000</v>
      </c>
      <c r="R18" s="16" t="n">
        <v>220000</v>
      </c>
      <c r="S18" s="16" t="n">
        <v>220000</v>
      </c>
      <c r="T18" s="16" t="n">
        <v>220000</v>
      </c>
      <c r="U18" s="16" t="n">
        <v>220000</v>
      </c>
      <c r="V18" s="16" t="n">
        <v>220000</v>
      </c>
      <c r="W18" s="16" t="n">
        <v>220000</v>
      </c>
      <c r="X18" s="16" t="n">
        <v>220000</v>
      </c>
      <c r="Y18" s="16" t="n">
        <v>220000</v>
      </c>
      <c r="Z18" s="16" t="n">
        <v>242000</v>
      </c>
      <c r="AA18" s="16" t="n">
        <v>242000</v>
      </c>
      <c r="AB18" s="16" t="n">
        <v>242000</v>
      </c>
      <c r="AC18" s="16" t="n">
        <v>242000</v>
      </c>
      <c r="AD18" s="16" t="n">
        <v>242000</v>
      </c>
      <c r="AE18" s="16" t="n">
        <v>242000</v>
      </c>
      <c r="AF18" s="16" t="n">
        <v>242000</v>
      </c>
      <c r="AG18" s="16" t="n">
        <v>242000</v>
      </c>
      <c r="AH18" s="16" t="n">
        <v>242000</v>
      </c>
      <c r="AI18" s="16" t="n">
        <v>242000</v>
      </c>
      <c r="AJ18" s="16" t="n">
        <v>242000</v>
      </c>
      <c r="AK18" s="16" t="n">
        <v>242000</v>
      </c>
    </row>
    <row r="19" customFormat="false" ht="15" hidden="false" customHeight="true" outlineLevel="0" collapsed="false">
      <c r="A19" s="10" t="s">
        <v>68</v>
      </c>
      <c r="B19" s="16" t="n">
        <v>100000</v>
      </c>
      <c r="C19" s="16" t="n">
        <v>100000</v>
      </c>
      <c r="D19" s="16" t="n">
        <v>100000</v>
      </c>
      <c r="E19" s="16" t="n">
        <v>100000</v>
      </c>
      <c r="F19" s="16" t="n">
        <v>100000</v>
      </c>
      <c r="G19" s="16" t="n">
        <v>100000</v>
      </c>
      <c r="H19" s="16" t="n">
        <v>100000</v>
      </c>
      <c r="I19" s="16" t="n">
        <v>100000</v>
      </c>
      <c r="J19" s="16" t="n">
        <v>100000</v>
      </c>
      <c r="K19" s="16" t="n">
        <v>100000</v>
      </c>
      <c r="L19" s="16" t="n">
        <v>100000</v>
      </c>
      <c r="M19" s="16" t="n">
        <v>100000</v>
      </c>
      <c r="N19" s="16" t="n">
        <v>110000</v>
      </c>
      <c r="O19" s="16" t="n">
        <v>110000</v>
      </c>
      <c r="P19" s="16" t="n">
        <v>110000</v>
      </c>
      <c r="Q19" s="16" t="n">
        <v>110000</v>
      </c>
      <c r="R19" s="16" t="n">
        <v>110000</v>
      </c>
      <c r="S19" s="16" t="n">
        <v>110000</v>
      </c>
      <c r="T19" s="16" t="n">
        <v>110000</v>
      </c>
      <c r="U19" s="16" t="n">
        <v>110000</v>
      </c>
      <c r="V19" s="16" t="n">
        <v>110000</v>
      </c>
      <c r="W19" s="16" t="n">
        <v>110000</v>
      </c>
      <c r="X19" s="16" t="n">
        <v>110000</v>
      </c>
      <c r="Y19" s="16" t="n">
        <v>110000</v>
      </c>
      <c r="Z19" s="16" t="n">
        <v>121000</v>
      </c>
      <c r="AA19" s="16" t="n">
        <v>121000</v>
      </c>
      <c r="AB19" s="16" t="n">
        <v>121000</v>
      </c>
      <c r="AC19" s="16" t="n">
        <v>121000</v>
      </c>
      <c r="AD19" s="16" t="n">
        <v>121000</v>
      </c>
      <c r="AE19" s="16" t="n">
        <v>121000</v>
      </c>
      <c r="AF19" s="16" t="n">
        <v>121000</v>
      </c>
      <c r="AG19" s="16" t="n">
        <v>121000</v>
      </c>
      <c r="AH19" s="16" t="n">
        <v>121000</v>
      </c>
      <c r="AI19" s="16" t="n">
        <v>121000</v>
      </c>
      <c r="AJ19" s="16" t="n">
        <v>121000</v>
      </c>
      <c r="AK19" s="16" t="n">
        <v>121000</v>
      </c>
    </row>
    <row r="21" customFormat="false" ht="15" hidden="false" customHeight="true" outlineLevel="0" collapsed="false">
      <c r="A21" s="4" t="s">
        <v>70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customFormat="false" ht="15" hidden="false" customHeight="true" outlineLevel="0" collapsed="false">
      <c r="A22" s="10" t="s">
        <v>64</v>
      </c>
      <c r="B22" s="18" t="n">
        <f aca="false">B8*B15</f>
        <v>400000</v>
      </c>
      <c r="C22" s="18" t="n">
        <f aca="false">C8*C15</f>
        <v>400000</v>
      </c>
      <c r="D22" s="18" t="n">
        <f aca="false">D8*D15</f>
        <v>400000</v>
      </c>
      <c r="E22" s="18" t="n">
        <f aca="false">E8*E15</f>
        <v>400000</v>
      </c>
      <c r="F22" s="18" t="n">
        <f aca="false">F8*F15</f>
        <v>400000</v>
      </c>
      <c r="G22" s="18" t="n">
        <f aca="false">G8*G15</f>
        <v>400000</v>
      </c>
      <c r="H22" s="18" t="n">
        <f aca="false">H8*H15</f>
        <v>400000</v>
      </c>
      <c r="I22" s="18" t="n">
        <f aca="false">I8*I15</f>
        <v>400000</v>
      </c>
      <c r="J22" s="18" t="n">
        <f aca="false">J8*J15</f>
        <v>400000</v>
      </c>
      <c r="K22" s="18" t="n">
        <f aca="false">K8*K15</f>
        <v>400000</v>
      </c>
      <c r="L22" s="18" t="n">
        <f aca="false">L8*L15</f>
        <v>400000</v>
      </c>
      <c r="M22" s="18" t="n">
        <f aca="false">M8*M15</f>
        <v>400000</v>
      </c>
      <c r="N22" s="18" t="n">
        <f aca="false">N8*N15</f>
        <v>440000</v>
      </c>
      <c r="O22" s="18" t="n">
        <f aca="false">O8*O15</f>
        <v>440000</v>
      </c>
      <c r="P22" s="18" t="n">
        <f aca="false">P8*P15</f>
        <v>440000</v>
      </c>
      <c r="Q22" s="18" t="n">
        <f aca="false">Q8*Q15</f>
        <v>440000</v>
      </c>
      <c r="R22" s="18" t="n">
        <f aca="false">R8*R15</f>
        <v>440000</v>
      </c>
      <c r="S22" s="18" t="n">
        <f aca="false">S8*S15</f>
        <v>440000</v>
      </c>
      <c r="T22" s="18" t="n">
        <f aca="false">T8*T15</f>
        <v>440000</v>
      </c>
      <c r="U22" s="18" t="n">
        <f aca="false">U8*U15</f>
        <v>440000</v>
      </c>
      <c r="V22" s="18" t="n">
        <f aca="false">V8*V15</f>
        <v>440000</v>
      </c>
      <c r="W22" s="18" t="n">
        <f aca="false">W8*W15</f>
        <v>440000</v>
      </c>
      <c r="X22" s="18" t="n">
        <f aca="false">X8*X15</f>
        <v>440000</v>
      </c>
      <c r="Y22" s="18" t="n">
        <f aca="false">Y8*Y15</f>
        <v>440000</v>
      </c>
      <c r="Z22" s="18" t="n">
        <f aca="false">Z8*Z15</f>
        <v>484000</v>
      </c>
      <c r="AA22" s="18" t="n">
        <f aca="false">AA8*AA15</f>
        <v>484000</v>
      </c>
      <c r="AB22" s="18" t="n">
        <f aca="false">AB8*AB15</f>
        <v>484000</v>
      </c>
      <c r="AC22" s="18" t="n">
        <f aca="false">AC8*AC15</f>
        <v>484000</v>
      </c>
      <c r="AD22" s="18" t="n">
        <f aca="false">AD8*AD15</f>
        <v>484000</v>
      </c>
      <c r="AE22" s="18" t="n">
        <f aca="false">AE8*AE15</f>
        <v>484000</v>
      </c>
      <c r="AF22" s="18" t="n">
        <f aca="false">AF8*AF15</f>
        <v>484000</v>
      </c>
      <c r="AG22" s="18" t="n">
        <f aca="false">AG8*AG15</f>
        <v>484000</v>
      </c>
      <c r="AH22" s="18" t="n">
        <f aca="false">AH8*AH15</f>
        <v>484000</v>
      </c>
      <c r="AI22" s="18" t="n">
        <f aca="false">AI8*AI15</f>
        <v>484000</v>
      </c>
      <c r="AJ22" s="18" t="n">
        <f aca="false">AJ8*AJ15</f>
        <v>484000</v>
      </c>
      <c r="AK22" s="18" t="n">
        <f aca="false">AK8*AK15</f>
        <v>484000</v>
      </c>
    </row>
    <row r="23" customFormat="false" ht="15" hidden="false" customHeight="true" outlineLevel="0" collapsed="false">
      <c r="A23" s="10" t="s">
        <v>65</v>
      </c>
      <c r="B23" s="18" t="n">
        <f aca="false">B9*B16</f>
        <v>300000</v>
      </c>
      <c r="C23" s="18" t="n">
        <f aca="false">C9*C16</f>
        <v>300000</v>
      </c>
      <c r="D23" s="18" t="n">
        <f aca="false">D9*D16</f>
        <v>300000</v>
      </c>
      <c r="E23" s="18" t="n">
        <f aca="false">E9*E16</f>
        <v>300000</v>
      </c>
      <c r="F23" s="18" t="n">
        <f aca="false">F9*F16</f>
        <v>300000</v>
      </c>
      <c r="G23" s="18" t="n">
        <f aca="false">G9*G16</f>
        <v>300000</v>
      </c>
      <c r="H23" s="18" t="n">
        <f aca="false">H9*H16</f>
        <v>300000</v>
      </c>
      <c r="I23" s="18" t="n">
        <f aca="false">I9*I16</f>
        <v>300000</v>
      </c>
      <c r="J23" s="18" t="n">
        <f aca="false">J9*J16</f>
        <v>300000</v>
      </c>
      <c r="K23" s="18" t="n">
        <f aca="false">K9*K16</f>
        <v>300000</v>
      </c>
      <c r="L23" s="18" t="n">
        <f aca="false">L9*L16</f>
        <v>300000</v>
      </c>
      <c r="M23" s="18" t="n">
        <f aca="false">M9*M16</f>
        <v>300000</v>
      </c>
      <c r="N23" s="18" t="n">
        <f aca="false">N9*N16</f>
        <v>660000</v>
      </c>
      <c r="O23" s="18" t="n">
        <f aca="false">O9*O16</f>
        <v>660000</v>
      </c>
      <c r="P23" s="18" t="n">
        <f aca="false">P9*P16</f>
        <v>660000</v>
      </c>
      <c r="Q23" s="18" t="n">
        <f aca="false">Q9*Q16</f>
        <v>660000</v>
      </c>
      <c r="R23" s="18" t="n">
        <f aca="false">R9*R16</f>
        <v>660000</v>
      </c>
      <c r="S23" s="18" t="n">
        <f aca="false">S9*S16</f>
        <v>660000</v>
      </c>
      <c r="T23" s="18" t="n">
        <f aca="false">T9*T16</f>
        <v>660000</v>
      </c>
      <c r="U23" s="18" t="n">
        <f aca="false">U9*U16</f>
        <v>660000</v>
      </c>
      <c r="V23" s="18" t="n">
        <f aca="false">V9*V16</f>
        <v>660000</v>
      </c>
      <c r="W23" s="18" t="n">
        <f aca="false">W9*W16</f>
        <v>660000</v>
      </c>
      <c r="X23" s="18" t="n">
        <f aca="false">X9*X16</f>
        <v>660000</v>
      </c>
      <c r="Y23" s="18" t="n">
        <f aca="false">Y9*Y16</f>
        <v>660000</v>
      </c>
      <c r="Z23" s="18" t="n">
        <f aca="false">Z9*Z16</f>
        <v>1089000</v>
      </c>
      <c r="AA23" s="18" t="n">
        <f aca="false">AA9*AA16</f>
        <v>1089000</v>
      </c>
      <c r="AB23" s="18" t="n">
        <f aca="false">AB9*AB16</f>
        <v>1089000</v>
      </c>
      <c r="AC23" s="18" t="n">
        <f aca="false">AC9*AC16</f>
        <v>1089000</v>
      </c>
      <c r="AD23" s="18" t="n">
        <f aca="false">AD9*AD16</f>
        <v>1089000</v>
      </c>
      <c r="AE23" s="18" t="n">
        <f aca="false">AE9*AE16</f>
        <v>1089000</v>
      </c>
      <c r="AF23" s="18" t="n">
        <f aca="false">AF9*AF16</f>
        <v>1089000</v>
      </c>
      <c r="AG23" s="18" t="n">
        <f aca="false">AG9*AG16</f>
        <v>1089000</v>
      </c>
      <c r="AH23" s="18" t="n">
        <f aca="false">AH9*AH16</f>
        <v>1089000</v>
      </c>
      <c r="AI23" s="18" t="n">
        <f aca="false">AI9*AI16</f>
        <v>1089000</v>
      </c>
      <c r="AJ23" s="18" t="n">
        <f aca="false">AJ9*AJ16</f>
        <v>1089000</v>
      </c>
      <c r="AK23" s="18" t="n">
        <f aca="false">AK9*AK16</f>
        <v>1089000</v>
      </c>
    </row>
    <row r="24" customFormat="false" ht="15" hidden="false" customHeight="true" outlineLevel="0" collapsed="false">
      <c r="A24" s="10" t="s">
        <v>66</v>
      </c>
      <c r="B24" s="18" t="n">
        <f aca="false">B10*B17</f>
        <v>250000</v>
      </c>
      <c r="C24" s="18" t="n">
        <f aca="false">C10*C17</f>
        <v>250000</v>
      </c>
      <c r="D24" s="18" t="n">
        <f aca="false">D10*D17</f>
        <v>250000</v>
      </c>
      <c r="E24" s="18" t="n">
        <f aca="false">E10*E17</f>
        <v>250000</v>
      </c>
      <c r="F24" s="18" t="n">
        <f aca="false">F10*F17</f>
        <v>250000</v>
      </c>
      <c r="G24" s="18" t="n">
        <f aca="false">G10*G17</f>
        <v>250000</v>
      </c>
      <c r="H24" s="18" t="n">
        <f aca="false">H10*H17</f>
        <v>250000</v>
      </c>
      <c r="I24" s="18" t="n">
        <f aca="false">I10*I17</f>
        <v>250000</v>
      </c>
      <c r="J24" s="18" t="n">
        <f aca="false">J10*J17</f>
        <v>250000</v>
      </c>
      <c r="K24" s="18" t="n">
        <f aca="false">K10*K17</f>
        <v>250000</v>
      </c>
      <c r="L24" s="18" t="n">
        <f aca="false">L10*L17</f>
        <v>250000</v>
      </c>
      <c r="M24" s="18" t="n">
        <f aca="false">M10*M17</f>
        <v>250000</v>
      </c>
      <c r="N24" s="18" t="n">
        <f aca="false">N10*N17</f>
        <v>550000</v>
      </c>
      <c r="O24" s="18" t="n">
        <f aca="false">O10*O17</f>
        <v>550000</v>
      </c>
      <c r="P24" s="18" t="n">
        <f aca="false">P10*P17</f>
        <v>550000</v>
      </c>
      <c r="Q24" s="18" t="n">
        <f aca="false">Q10*Q17</f>
        <v>550000</v>
      </c>
      <c r="R24" s="18" t="n">
        <f aca="false">R10*R17</f>
        <v>550000</v>
      </c>
      <c r="S24" s="18" t="n">
        <f aca="false">S10*S17</f>
        <v>550000</v>
      </c>
      <c r="T24" s="18" t="n">
        <f aca="false">T10*T17</f>
        <v>550000</v>
      </c>
      <c r="U24" s="18" t="n">
        <f aca="false">U10*U17</f>
        <v>550000</v>
      </c>
      <c r="V24" s="18" t="n">
        <f aca="false">V10*V17</f>
        <v>550000</v>
      </c>
      <c r="W24" s="18" t="n">
        <f aca="false">W10*W17</f>
        <v>550000</v>
      </c>
      <c r="X24" s="18" t="n">
        <f aca="false">X10*X17</f>
        <v>550000</v>
      </c>
      <c r="Y24" s="18" t="n">
        <f aca="false">Y10*Y17</f>
        <v>550000</v>
      </c>
      <c r="Z24" s="18" t="n">
        <f aca="false">Z10*Z17</f>
        <v>907500</v>
      </c>
      <c r="AA24" s="18" t="n">
        <f aca="false">AA10*AA17</f>
        <v>907500</v>
      </c>
      <c r="AB24" s="18" t="n">
        <f aca="false">AB10*AB17</f>
        <v>907500</v>
      </c>
      <c r="AC24" s="18" t="n">
        <f aca="false">AC10*AC17</f>
        <v>907500</v>
      </c>
      <c r="AD24" s="18" t="n">
        <f aca="false">AD10*AD17</f>
        <v>907500</v>
      </c>
      <c r="AE24" s="18" t="n">
        <f aca="false">AE10*AE17</f>
        <v>907500</v>
      </c>
      <c r="AF24" s="18" t="n">
        <f aca="false">AF10*AF17</f>
        <v>907500</v>
      </c>
      <c r="AG24" s="18" t="n">
        <f aca="false">AG10*AG17</f>
        <v>907500</v>
      </c>
      <c r="AH24" s="18" t="n">
        <f aca="false">AH10*AH17</f>
        <v>907500</v>
      </c>
      <c r="AI24" s="18" t="n">
        <f aca="false">AI10*AI17</f>
        <v>907500</v>
      </c>
      <c r="AJ24" s="18" t="n">
        <f aca="false">AJ10*AJ17</f>
        <v>907500</v>
      </c>
      <c r="AK24" s="18" t="n">
        <f aca="false">AK10*AK17</f>
        <v>907500</v>
      </c>
    </row>
    <row r="25" customFormat="false" ht="15" hidden="false" customHeight="true" outlineLevel="0" collapsed="false">
      <c r="A25" s="10" t="s">
        <v>67</v>
      </c>
      <c r="B25" s="18" t="n">
        <f aca="false">B11*B18</f>
        <v>0</v>
      </c>
      <c r="C25" s="18" t="n">
        <f aca="false">C11*C18</f>
        <v>0</v>
      </c>
      <c r="D25" s="18" t="n">
        <f aca="false">D11*D18</f>
        <v>0</v>
      </c>
      <c r="E25" s="18" t="n">
        <f aca="false">E11*E18</f>
        <v>0</v>
      </c>
      <c r="F25" s="18" t="n">
        <f aca="false">F11*F18</f>
        <v>0</v>
      </c>
      <c r="G25" s="18" t="n">
        <f aca="false">G11*G18</f>
        <v>0</v>
      </c>
      <c r="H25" s="18" t="n">
        <f aca="false">H11*H18</f>
        <v>0</v>
      </c>
      <c r="I25" s="18" t="n">
        <f aca="false">I11*I18</f>
        <v>0</v>
      </c>
      <c r="J25" s="18" t="n">
        <f aca="false">J11*J18</f>
        <v>0</v>
      </c>
      <c r="K25" s="18" t="n">
        <f aca="false">K11*K18</f>
        <v>0</v>
      </c>
      <c r="L25" s="18" t="n">
        <f aca="false">L11*L18</f>
        <v>0</v>
      </c>
      <c r="M25" s="18" t="n">
        <f aca="false">M11*M18</f>
        <v>0</v>
      </c>
      <c r="N25" s="18" t="n">
        <f aca="false">N11*N18</f>
        <v>220000</v>
      </c>
      <c r="O25" s="18" t="n">
        <f aca="false">O11*O18</f>
        <v>220000</v>
      </c>
      <c r="P25" s="18" t="n">
        <f aca="false">P11*P18</f>
        <v>220000</v>
      </c>
      <c r="Q25" s="18" t="n">
        <f aca="false">Q11*Q18</f>
        <v>220000</v>
      </c>
      <c r="R25" s="18" t="n">
        <f aca="false">R11*R18</f>
        <v>220000</v>
      </c>
      <c r="S25" s="18" t="n">
        <f aca="false">S11*S18</f>
        <v>220000</v>
      </c>
      <c r="T25" s="18" t="n">
        <f aca="false">T11*T18</f>
        <v>220000</v>
      </c>
      <c r="U25" s="18" t="n">
        <f aca="false">U11*U18</f>
        <v>220000</v>
      </c>
      <c r="V25" s="18" t="n">
        <f aca="false">V11*V18</f>
        <v>220000</v>
      </c>
      <c r="W25" s="18" t="n">
        <f aca="false">W11*W18</f>
        <v>220000</v>
      </c>
      <c r="X25" s="18" t="n">
        <f aca="false">X11*X18</f>
        <v>220000</v>
      </c>
      <c r="Y25" s="18" t="n">
        <f aca="false">Y11*Y18</f>
        <v>220000</v>
      </c>
      <c r="Z25" s="18" t="n">
        <f aca="false">Z11*Z18</f>
        <v>484000</v>
      </c>
      <c r="AA25" s="18" t="n">
        <f aca="false">AA11*AA18</f>
        <v>484000</v>
      </c>
      <c r="AB25" s="18" t="n">
        <f aca="false">AB11*AB18</f>
        <v>484000</v>
      </c>
      <c r="AC25" s="18" t="n">
        <f aca="false">AC11*AC18</f>
        <v>484000</v>
      </c>
      <c r="AD25" s="18" t="n">
        <f aca="false">AD11*AD18</f>
        <v>484000</v>
      </c>
      <c r="AE25" s="18" t="n">
        <f aca="false">AE11*AE18</f>
        <v>484000</v>
      </c>
      <c r="AF25" s="18" t="n">
        <f aca="false">AF11*AF18</f>
        <v>484000</v>
      </c>
      <c r="AG25" s="18" t="n">
        <f aca="false">AG11*AG18</f>
        <v>484000</v>
      </c>
      <c r="AH25" s="18" t="n">
        <f aca="false">AH11*AH18</f>
        <v>484000</v>
      </c>
      <c r="AI25" s="18" t="n">
        <f aca="false">AI11*AI18</f>
        <v>484000</v>
      </c>
      <c r="AJ25" s="18" t="n">
        <f aca="false">AJ11*AJ18</f>
        <v>484000</v>
      </c>
      <c r="AK25" s="18" t="n">
        <f aca="false">AK11*AK18</f>
        <v>484000</v>
      </c>
    </row>
    <row r="26" customFormat="false" ht="15" hidden="false" customHeight="true" outlineLevel="0" collapsed="false">
      <c r="A26" s="10" t="s">
        <v>68</v>
      </c>
      <c r="B26" s="18" t="n">
        <f aca="false">B12*B19</f>
        <v>100000</v>
      </c>
      <c r="C26" s="18" t="n">
        <f aca="false">C12*C19</f>
        <v>100000</v>
      </c>
      <c r="D26" s="18" t="n">
        <f aca="false">D12*D19</f>
        <v>100000</v>
      </c>
      <c r="E26" s="18" t="n">
        <f aca="false">E12*E19</f>
        <v>100000</v>
      </c>
      <c r="F26" s="18" t="n">
        <f aca="false">F12*F19</f>
        <v>100000</v>
      </c>
      <c r="G26" s="18" t="n">
        <f aca="false">G12*G19</f>
        <v>100000</v>
      </c>
      <c r="H26" s="18" t="n">
        <f aca="false">H12*H19</f>
        <v>100000</v>
      </c>
      <c r="I26" s="18" t="n">
        <f aca="false">I12*I19</f>
        <v>100000</v>
      </c>
      <c r="J26" s="18" t="n">
        <f aca="false">J12*J19</f>
        <v>100000</v>
      </c>
      <c r="K26" s="18" t="n">
        <f aca="false">K12*K19</f>
        <v>100000</v>
      </c>
      <c r="L26" s="18" t="n">
        <f aca="false">L12*L19</f>
        <v>100000</v>
      </c>
      <c r="M26" s="18" t="n">
        <f aca="false">M12*M19</f>
        <v>100000</v>
      </c>
      <c r="N26" s="18" t="n">
        <f aca="false">N12*N19</f>
        <v>110000</v>
      </c>
      <c r="O26" s="18" t="n">
        <f aca="false">O12*O19</f>
        <v>110000</v>
      </c>
      <c r="P26" s="18" t="n">
        <f aca="false">P12*P19</f>
        <v>110000</v>
      </c>
      <c r="Q26" s="18" t="n">
        <f aca="false">Q12*Q19</f>
        <v>110000</v>
      </c>
      <c r="R26" s="18" t="n">
        <f aca="false">R12*R19</f>
        <v>110000</v>
      </c>
      <c r="S26" s="18" t="n">
        <f aca="false">S12*S19</f>
        <v>110000</v>
      </c>
      <c r="T26" s="18" t="n">
        <f aca="false">T12*T19</f>
        <v>110000</v>
      </c>
      <c r="U26" s="18" t="n">
        <f aca="false">U12*U19</f>
        <v>110000</v>
      </c>
      <c r="V26" s="18" t="n">
        <f aca="false">V12*V19</f>
        <v>110000</v>
      </c>
      <c r="W26" s="18" t="n">
        <f aca="false">W12*W19</f>
        <v>110000</v>
      </c>
      <c r="X26" s="18" t="n">
        <f aca="false">X12*X19</f>
        <v>110000</v>
      </c>
      <c r="Y26" s="18" t="n">
        <f aca="false">Y12*Y19</f>
        <v>110000</v>
      </c>
      <c r="Z26" s="18" t="n">
        <f aca="false">Z12*Z19</f>
        <v>121000</v>
      </c>
      <c r="AA26" s="18" t="n">
        <f aca="false">AA12*AA19</f>
        <v>121000</v>
      </c>
      <c r="AB26" s="18" t="n">
        <f aca="false">AB12*AB19</f>
        <v>121000</v>
      </c>
      <c r="AC26" s="18" t="n">
        <f aca="false">AC12*AC19</f>
        <v>121000</v>
      </c>
      <c r="AD26" s="18" t="n">
        <f aca="false">AD12*AD19</f>
        <v>121000</v>
      </c>
      <c r="AE26" s="18" t="n">
        <f aca="false">AE12*AE19</f>
        <v>121000</v>
      </c>
      <c r="AF26" s="18" t="n">
        <f aca="false">AF12*AF19</f>
        <v>121000</v>
      </c>
      <c r="AG26" s="18" t="n">
        <f aca="false">AG12*AG19</f>
        <v>121000</v>
      </c>
      <c r="AH26" s="18" t="n">
        <f aca="false">AH12*AH19</f>
        <v>121000</v>
      </c>
      <c r="AI26" s="18" t="n">
        <f aca="false">AI12*AI19</f>
        <v>121000</v>
      </c>
      <c r="AJ26" s="18" t="n">
        <f aca="false">AJ12*AJ19</f>
        <v>121000</v>
      </c>
      <c r="AK26" s="18" t="n">
        <f aca="false">AK12*AK19</f>
        <v>121000</v>
      </c>
    </row>
    <row r="28" customFormat="false" ht="15" hidden="false" customHeight="true" outlineLevel="0" collapsed="false">
      <c r="A28" s="14" t="s">
        <v>71</v>
      </c>
      <c r="B28" s="19" t="n">
        <f aca="false">SUM(B22:B26)</f>
        <v>1050000</v>
      </c>
      <c r="C28" s="19" t="n">
        <f aca="false">SUM(C22:C26)</f>
        <v>1050000</v>
      </c>
      <c r="D28" s="19" t="n">
        <f aca="false">SUM(D22:D26)</f>
        <v>1050000</v>
      </c>
      <c r="E28" s="19" t="n">
        <f aca="false">SUM(E22:E26)</f>
        <v>1050000</v>
      </c>
      <c r="F28" s="19" t="n">
        <f aca="false">SUM(F22:F26)</f>
        <v>1050000</v>
      </c>
      <c r="G28" s="19" t="n">
        <f aca="false">SUM(G22:G26)</f>
        <v>1050000</v>
      </c>
      <c r="H28" s="19" t="n">
        <f aca="false">SUM(H22:H26)</f>
        <v>1050000</v>
      </c>
      <c r="I28" s="19" t="n">
        <f aca="false">SUM(I22:I26)</f>
        <v>1050000</v>
      </c>
      <c r="J28" s="19" t="n">
        <f aca="false">SUM(J22:J26)</f>
        <v>1050000</v>
      </c>
      <c r="K28" s="19" t="n">
        <f aca="false">SUM(K22:K26)</f>
        <v>1050000</v>
      </c>
      <c r="L28" s="19" t="n">
        <f aca="false">SUM(L22:L26)</f>
        <v>1050000</v>
      </c>
      <c r="M28" s="19" t="n">
        <f aca="false">SUM(M22:M26)</f>
        <v>1050000</v>
      </c>
      <c r="N28" s="19" t="n">
        <f aca="false">SUM(N22:N26)</f>
        <v>1980000</v>
      </c>
      <c r="O28" s="19" t="n">
        <f aca="false">SUM(O22:O26)</f>
        <v>1980000</v>
      </c>
      <c r="P28" s="19" t="n">
        <f aca="false">SUM(P22:P26)</f>
        <v>1980000</v>
      </c>
      <c r="Q28" s="19" t="n">
        <f aca="false">SUM(Q22:Q26)</f>
        <v>1980000</v>
      </c>
      <c r="R28" s="19" t="n">
        <f aca="false">SUM(R22:R26)</f>
        <v>1980000</v>
      </c>
      <c r="S28" s="19" t="n">
        <f aca="false">SUM(S22:S26)</f>
        <v>1980000</v>
      </c>
      <c r="T28" s="19" t="n">
        <f aca="false">SUM(T22:T26)</f>
        <v>1980000</v>
      </c>
      <c r="U28" s="19" t="n">
        <f aca="false">SUM(U22:U26)</f>
        <v>1980000</v>
      </c>
      <c r="V28" s="19" t="n">
        <f aca="false">SUM(V22:V26)</f>
        <v>1980000</v>
      </c>
      <c r="W28" s="19" t="n">
        <f aca="false">SUM(W22:W26)</f>
        <v>1980000</v>
      </c>
      <c r="X28" s="19" t="n">
        <f aca="false">SUM(X22:X26)</f>
        <v>1980000</v>
      </c>
      <c r="Y28" s="19" t="n">
        <f aca="false">SUM(Y22:Y26)</f>
        <v>1980000</v>
      </c>
      <c r="Z28" s="19" t="n">
        <f aca="false">SUM(Z22:Z26)</f>
        <v>3085500</v>
      </c>
      <c r="AA28" s="19" t="n">
        <f aca="false">SUM(AA22:AA26)</f>
        <v>3085500</v>
      </c>
      <c r="AB28" s="19" t="n">
        <f aca="false">SUM(AB22:AB26)</f>
        <v>3085500</v>
      </c>
      <c r="AC28" s="19" t="n">
        <f aca="false">SUM(AC22:AC26)</f>
        <v>3085500</v>
      </c>
      <c r="AD28" s="19" t="n">
        <f aca="false">SUM(AD22:AD26)</f>
        <v>3085500</v>
      </c>
      <c r="AE28" s="19" t="n">
        <f aca="false">SUM(AE22:AE26)</f>
        <v>3085500</v>
      </c>
      <c r="AF28" s="19" t="n">
        <f aca="false">SUM(AF22:AF26)</f>
        <v>3085500</v>
      </c>
      <c r="AG28" s="19" t="n">
        <f aca="false">SUM(AG22:AG26)</f>
        <v>3085500</v>
      </c>
      <c r="AH28" s="19" t="n">
        <f aca="false">SUM(AH22:AH26)</f>
        <v>3085500</v>
      </c>
      <c r="AI28" s="19" t="n">
        <f aca="false">SUM(AI22:AI26)</f>
        <v>3085500</v>
      </c>
      <c r="AJ28" s="19" t="n">
        <f aca="false">SUM(AJ22:AJ26)</f>
        <v>3085500</v>
      </c>
      <c r="AK28" s="19" t="n">
        <f aca="false">SUM(AK22:AK26)</f>
        <v>3085500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7" min="2" style="1" width="11"/>
  </cols>
  <sheetData>
    <row r="1" customFormat="false" ht="17.25" hidden="false" customHeight="true" outlineLevel="0" collapsed="false">
      <c r="A1" s="12" t="s">
        <v>72</v>
      </c>
    </row>
    <row r="2" customFormat="false" ht="15" hidden="false" customHeight="true" outlineLevel="0" collapsed="false">
      <c r="A2" s="3" t="s">
        <v>73</v>
      </c>
    </row>
    <row r="3" customFormat="false" ht="15" hidden="false" customHeight="true" outlineLevel="0" collapsed="false">
      <c r="A3" s="13" t="s">
        <v>74</v>
      </c>
    </row>
    <row r="5" customFormat="false" ht="15" hidden="false" customHeight="true" outlineLevel="0" collapsed="false">
      <c r="A5" s="9" t="s">
        <v>75</v>
      </c>
      <c r="B5" s="9" t="s">
        <v>76</v>
      </c>
      <c r="C5" s="9" t="s">
        <v>77</v>
      </c>
      <c r="D5" s="9" t="s">
        <v>78</v>
      </c>
      <c r="E5" s="9" t="s">
        <v>79</v>
      </c>
    </row>
    <row r="6" customFormat="false" ht="15" hidden="false" customHeight="true" outlineLevel="0" collapsed="false">
      <c r="A6" s="10" t="s">
        <v>80</v>
      </c>
      <c r="B6" s="22" t="n">
        <v>1</v>
      </c>
      <c r="C6" s="16" t="n">
        <v>1000000</v>
      </c>
      <c r="D6" s="22" t="n">
        <v>36</v>
      </c>
      <c r="E6" s="18" t="n">
        <f aca="false">C6/D6</f>
        <v>27777.7777777778</v>
      </c>
    </row>
    <row r="7" customFormat="false" ht="15" hidden="false" customHeight="true" outlineLevel="0" collapsed="false">
      <c r="A7" s="10" t="s">
        <v>81</v>
      </c>
      <c r="B7" s="22" t="n">
        <v>1</v>
      </c>
      <c r="C7" s="16" t="n">
        <v>1500000</v>
      </c>
      <c r="D7" s="22" t="n">
        <v>36</v>
      </c>
      <c r="E7" s="18" t="n">
        <f aca="false">C7/D7</f>
        <v>41666.6666666667</v>
      </c>
    </row>
    <row r="8" customFormat="false" ht="15" hidden="false" customHeight="true" outlineLevel="0" collapsed="false">
      <c r="A8" s="10" t="s">
        <v>82</v>
      </c>
      <c r="B8" s="22" t="n">
        <v>1</v>
      </c>
      <c r="C8" s="16" t="n">
        <v>500000</v>
      </c>
      <c r="D8" s="22" t="n">
        <v>60</v>
      </c>
      <c r="E8" s="18" t="n">
        <f aca="false">C8/D8</f>
        <v>8333.33333333333</v>
      </c>
    </row>
    <row r="9" customFormat="false" ht="15" hidden="false" customHeight="true" outlineLevel="0" collapsed="false">
      <c r="A9" s="10" t="s">
        <v>83</v>
      </c>
      <c r="B9" s="22" t="n">
        <v>13</v>
      </c>
      <c r="C9" s="16" t="n">
        <v>750000</v>
      </c>
      <c r="D9" s="22" t="n">
        <v>36</v>
      </c>
      <c r="E9" s="18" t="n">
        <f aca="false">C9/D9</f>
        <v>20833.3333333333</v>
      </c>
    </row>
    <row r="10" customFormat="false" ht="15" hidden="false" customHeight="true" outlineLevel="0" collapsed="false">
      <c r="A10" s="10" t="s">
        <v>84</v>
      </c>
      <c r="B10" s="22" t="n">
        <v>25</v>
      </c>
      <c r="C10" s="16" t="n">
        <v>750000</v>
      </c>
      <c r="D10" s="22" t="n">
        <v>36</v>
      </c>
      <c r="E10" s="18" t="n">
        <f aca="false">C10/D10</f>
        <v>20833.3333333333</v>
      </c>
    </row>
    <row r="11" customFormat="false" ht="15" hidden="false" customHeight="true" outlineLevel="0" collapsed="false">
      <c r="A11" s="14" t="s">
        <v>85</v>
      </c>
      <c r="C11" s="19" t="n">
        <f aca="false">SUM(C6:C10)</f>
        <v>4500000</v>
      </c>
      <c r="E11" s="19" t="n">
        <f aca="false">SUM(E6:E10)</f>
        <v>119444.444444444</v>
      </c>
    </row>
    <row r="14" customFormat="false" ht="15" hidden="false" customHeight="true" outlineLevel="0" collapsed="false">
      <c r="A14" s="14" t="s">
        <v>27</v>
      </c>
      <c r="B14" s="15" t="n">
        <v>1</v>
      </c>
      <c r="C14" s="15" t="n">
        <v>1</v>
      </c>
      <c r="D14" s="15" t="n">
        <v>1</v>
      </c>
      <c r="E14" s="15" t="n">
        <v>1</v>
      </c>
      <c r="F14" s="15" t="n">
        <v>1</v>
      </c>
      <c r="G14" s="15" t="n">
        <v>1</v>
      </c>
      <c r="H14" s="15" t="n">
        <v>1</v>
      </c>
      <c r="I14" s="15" t="n">
        <v>1</v>
      </c>
      <c r="J14" s="15" t="n">
        <v>1</v>
      </c>
      <c r="K14" s="15" t="n">
        <v>1</v>
      </c>
      <c r="L14" s="15" t="n">
        <v>1</v>
      </c>
      <c r="M14" s="15" t="n">
        <v>1</v>
      </c>
      <c r="N14" s="15" t="n">
        <v>2</v>
      </c>
      <c r="O14" s="15" t="n">
        <v>2</v>
      </c>
      <c r="P14" s="15" t="n">
        <v>2</v>
      </c>
      <c r="Q14" s="15" t="n">
        <v>2</v>
      </c>
      <c r="R14" s="15" t="n">
        <v>2</v>
      </c>
      <c r="S14" s="15" t="n">
        <v>2</v>
      </c>
      <c r="T14" s="15" t="n">
        <v>2</v>
      </c>
      <c r="U14" s="15" t="n">
        <v>2</v>
      </c>
      <c r="V14" s="15" t="n">
        <v>2</v>
      </c>
      <c r="W14" s="15" t="n">
        <v>2</v>
      </c>
      <c r="X14" s="15" t="n">
        <v>2</v>
      </c>
      <c r="Y14" s="15" t="n">
        <v>2</v>
      </c>
      <c r="Z14" s="15" t="n">
        <v>3</v>
      </c>
      <c r="AA14" s="15" t="n">
        <v>3</v>
      </c>
      <c r="AB14" s="15" t="n">
        <v>3</v>
      </c>
      <c r="AC14" s="15" t="n">
        <v>3</v>
      </c>
      <c r="AD14" s="15" t="n">
        <v>3</v>
      </c>
      <c r="AE14" s="15" t="n">
        <v>3</v>
      </c>
      <c r="AF14" s="15" t="n">
        <v>3</v>
      </c>
      <c r="AG14" s="15" t="n">
        <v>3</v>
      </c>
      <c r="AH14" s="15" t="n">
        <v>3</v>
      </c>
      <c r="AI14" s="15" t="n">
        <v>3</v>
      </c>
      <c r="AJ14" s="15" t="n">
        <v>3</v>
      </c>
      <c r="AK14" s="15" t="n">
        <v>3</v>
      </c>
    </row>
    <row r="15" customFormat="false" ht="15" hidden="false" customHeight="true" outlineLevel="0" collapsed="false">
      <c r="A15" s="14" t="s">
        <v>28</v>
      </c>
      <c r="B15" s="15" t="n">
        <v>1</v>
      </c>
      <c r="C15" s="15" t="n">
        <v>2</v>
      </c>
      <c r="D15" s="15" t="n">
        <v>3</v>
      </c>
      <c r="E15" s="15" t="n">
        <v>4</v>
      </c>
      <c r="F15" s="15" t="n">
        <v>5</v>
      </c>
      <c r="G15" s="15" t="n">
        <v>6</v>
      </c>
      <c r="H15" s="15" t="n">
        <v>7</v>
      </c>
      <c r="I15" s="15" t="n">
        <v>8</v>
      </c>
      <c r="J15" s="15" t="n">
        <v>9</v>
      </c>
      <c r="K15" s="15" t="n">
        <v>10</v>
      </c>
      <c r="L15" s="15" t="n">
        <v>11</v>
      </c>
      <c r="M15" s="15" t="n">
        <v>12</v>
      </c>
      <c r="N15" s="15" t="n">
        <v>13</v>
      </c>
      <c r="O15" s="15" t="n">
        <v>14</v>
      </c>
      <c r="P15" s="15" t="n">
        <v>15</v>
      </c>
      <c r="Q15" s="15" t="n">
        <v>16</v>
      </c>
      <c r="R15" s="15" t="n">
        <v>17</v>
      </c>
      <c r="S15" s="15" t="n">
        <v>18</v>
      </c>
      <c r="T15" s="15" t="n">
        <v>19</v>
      </c>
      <c r="U15" s="15" t="n">
        <v>20</v>
      </c>
      <c r="V15" s="15" t="n">
        <v>21</v>
      </c>
      <c r="W15" s="15" t="n">
        <v>22</v>
      </c>
      <c r="X15" s="15" t="n">
        <v>23</v>
      </c>
      <c r="Y15" s="15" t="n">
        <v>24</v>
      </c>
      <c r="Z15" s="15" t="n">
        <v>25</v>
      </c>
      <c r="AA15" s="15" t="n">
        <v>26</v>
      </c>
      <c r="AB15" s="15" t="n">
        <v>27</v>
      </c>
      <c r="AC15" s="15" t="n">
        <v>28</v>
      </c>
      <c r="AD15" s="15" t="n">
        <v>29</v>
      </c>
      <c r="AE15" s="15" t="n">
        <v>30</v>
      </c>
      <c r="AF15" s="15" t="n">
        <v>31</v>
      </c>
      <c r="AG15" s="15" t="n">
        <v>32</v>
      </c>
      <c r="AH15" s="15" t="n">
        <v>33</v>
      </c>
      <c r="AI15" s="15" t="n">
        <v>34</v>
      </c>
      <c r="AJ15" s="15" t="n">
        <v>35</v>
      </c>
      <c r="AK15" s="15" t="n">
        <v>36</v>
      </c>
    </row>
    <row r="16" customFormat="false" ht="15" hidden="false" customHeight="true" outlineLevel="0" collapsed="false">
      <c r="A16" s="4" t="s">
        <v>86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customFormat="false" ht="15" hidden="false" customHeight="true" outlineLevel="0" collapsed="false">
      <c r="A17" s="10" t="s">
        <v>80</v>
      </c>
      <c r="B17" s="18" t="n">
        <f aca="false">IF(AND(B15&gt;=$B$6,B15&lt;$B$6+$D$6),$E$6,0)</f>
        <v>27777.7777777778</v>
      </c>
      <c r="C17" s="18" t="n">
        <f aca="false">IF(AND(C15&gt;=$B$6,C15&lt;$B$6+$D$6),$E$6,0)</f>
        <v>27777.7777777778</v>
      </c>
      <c r="D17" s="18" t="n">
        <f aca="false">IF(AND(D15&gt;=$B$6,D15&lt;$B$6+$D$6),$E$6,0)</f>
        <v>27777.7777777778</v>
      </c>
      <c r="E17" s="18" t="n">
        <f aca="false">IF(AND(E15&gt;=$B$6,E15&lt;$B$6+$D$6),$E$6,0)</f>
        <v>27777.7777777778</v>
      </c>
      <c r="F17" s="18" t="n">
        <f aca="false">IF(AND(F15&gt;=$B$6,F15&lt;$B$6+$D$6),$E$6,0)</f>
        <v>27777.7777777778</v>
      </c>
      <c r="G17" s="18" t="n">
        <f aca="false">IF(AND(G15&gt;=$B$6,G15&lt;$B$6+$D$6),$E$6,0)</f>
        <v>27777.7777777778</v>
      </c>
      <c r="H17" s="18" t="n">
        <f aca="false">IF(AND(H15&gt;=$B$6,H15&lt;$B$6+$D$6),$E$6,0)</f>
        <v>27777.7777777778</v>
      </c>
      <c r="I17" s="18" t="n">
        <f aca="false">IF(AND(I15&gt;=$B$6,I15&lt;$B$6+$D$6),$E$6,0)</f>
        <v>27777.7777777778</v>
      </c>
      <c r="J17" s="18" t="n">
        <f aca="false">IF(AND(J15&gt;=$B$6,J15&lt;$B$6+$D$6),$E$6,0)</f>
        <v>27777.7777777778</v>
      </c>
      <c r="K17" s="18" t="n">
        <f aca="false">IF(AND(K15&gt;=$B$6,K15&lt;$B$6+$D$6),$E$6,0)</f>
        <v>27777.7777777778</v>
      </c>
      <c r="L17" s="18" t="n">
        <f aca="false">IF(AND(L15&gt;=$B$6,L15&lt;$B$6+$D$6),$E$6,0)</f>
        <v>27777.7777777778</v>
      </c>
      <c r="M17" s="18" t="n">
        <f aca="false">IF(AND(M15&gt;=$B$6,M15&lt;$B$6+$D$6),$E$6,0)</f>
        <v>27777.7777777778</v>
      </c>
      <c r="N17" s="18" t="n">
        <f aca="false">IF(AND(N15&gt;=$B$6,N15&lt;$B$6+$D$6),$E$6,0)</f>
        <v>27777.7777777778</v>
      </c>
      <c r="O17" s="18" t="n">
        <f aca="false">IF(AND(O15&gt;=$B$6,O15&lt;$B$6+$D$6),$E$6,0)</f>
        <v>27777.7777777778</v>
      </c>
      <c r="P17" s="18" t="n">
        <f aca="false">IF(AND(P15&gt;=$B$6,P15&lt;$B$6+$D$6),$E$6,0)</f>
        <v>27777.7777777778</v>
      </c>
      <c r="Q17" s="18" t="n">
        <f aca="false">IF(AND(Q15&gt;=$B$6,Q15&lt;$B$6+$D$6),$E$6,0)</f>
        <v>27777.7777777778</v>
      </c>
      <c r="R17" s="18" t="n">
        <f aca="false">IF(AND(R15&gt;=$B$6,R15&lt;$B$6+$D$6),$E$6,0)</f>
        <v>27777.7777777778</v>
      </c>
      <c r="S17" s="18" t="n">
        <f aca="false">IF(AND(S15&gt;=$B$6,S15&lt;$B$6+$D$6),$E$6,0)</f>
        <v>27777.7777777778</v>
      </c>
      <c r="T17" s="18" t="n">
        <f aca="false">IF(AND(T15&gt;=$B$6,T15&lt;$B$6+$D$6),$E$6,0)</f>
        <v>27777.7777777778</v>
      </c>
      <c r="U17" s="18" t="n">
        <f aca="false">IF(AND(U15&gt;=$B$6,U15&lt;$B$6+$D$6),$E$6,0)</f>
        <v>27777.7777777778</v>
      </c>
      <c r="V17" s="18" t="n">
        <f aca="false">IF(AND(V15&gt;=$B$6,V15&lt;$B$6+$D$6),$E$6,0)</f>
        <v>27777.7777777778</v>
      </c>
      <c r="W17" s="18" t="n">
        <f aca="false">IF(AND(W15&gt;=$B$6,W15&lt;$B$6+$D$6),$E$6,0)</f>
        <v>27777.7777777778</v>
      </c>
      <c r="X17" s="18" t="n">
        <f aca="false">IF(AND(X15&gt;=$B$6,X15&lt;$B$6+$D$6),$E$6,0)</f>
        <v>27777.7777777778</v>
      </c>
      <c r="Y17" s="18" t="n">
        <f aca="false">IF(AND(Y15&gt;=$B$6,Y15&lt;$B$6+$D$6),$E$6,0)</f>
        <v>27777.7777777778</v>
      </c>
      <c r="Z17" s="18" t="n">
        <f aca="false">IF(AND(Z15&gt;=$B$6,Z15&lt;$B$6+$D$6),$E$6,0)</f>
        <v>27777.7777777778</v>
      </c>
      <c r="AA17" s="18" t="n">
        <f aca="false">IF(AND(AA15&gt;=$B$6,AA15&lt;$B$6+$D$6),$E$6,0)</f>
        <v>27777.7777777778</v>
      </c>
      <c r="AB17" s="18" t="n">
        <f aca="false">IF(AND(AB15&gt;=$B$6,AB15&lt;$B$6+$D$6),$E$6,0)</f>
        <v>27777.7777777778</v>
      </c>
      <c r="AC17" s="18" t="n">
        <f aca="false">IF(AND(AC15&gt;=$B$6,AC15&lt;$B$6+$D$6),$E$6,0)</f>
        <v>27777.7777777778</v>
      </c>
      <c r="AD17" s="18" t="n">
        <f aca="false">IF(AND(AD15&gt;=$B$6,AD15&lt;$B$6+$D$6),$E$6,0)</f>
        <v>27777.7777777778</v>
      </c>
      <c r="AE17" s="18" t="n">
        <f aca="false">IF(AND(AE15&gt;=$B$6,AE15&lt;$B$6+$D$6),$E$6,0)</f>
        <v>27777.7777777778</v>
      </c>
      <c r="AF17" s="18" t="n">
        <f aca="false">IF(AND(AF15&gt;=$B$6,AF15&lt;$B$6+$D$6),$E$6,0)</f>
        <v>27777.7777777778</v>
      </c>
      <c r="AG17" s="18" t="n">
        <f aca="false">IF(AND(AG15&gt;=$B$6,AG15&lt;$B$6+$D$6),$E$6,0)</f>
        <v>27777.7777777778</v>
      </c>
      <c r="AH17" s="18" t="n">
        <f aca="false">IF(AND(AH15&gt;=$B$6,AH15&lt;$B$6+$D$6),$E$6,0)</f>
        <v>27777.7777777778</v>
      </c>
      <c r="AI17" s="18" t="n">
        <f aca="false">IF(AND(AI15&gt;=$B$6,AI15&lt;$B$6+$D$6),$E$6,0)</f>
        <v>27777.7777777778</v>
      </c>
      <c r="AJ17" s="18" t="n">
        <f aca="false">IF(AND(AJ15&gt;=$B$6,AJ15&lt;$B$6+$D$6),$E$6,0)</f>
        <v>27777.7777777778</v>
      </c>
      <c r="AK17" s="18" t="n">
        <f aca="false">IF(AND(AK15&gt;=$B$6,AK15&lt;$B$6+$D$6),$E$6,0)</f>
        <v>27777.7777777778</v>
      </c>
    </row>
    <row r="18" customFormat="false" ht="15" hidden="false" customHeight="true" outlineLevel="0" collapsed="false">
      <c r="A18" s="10" t="s">
        <v>81</v>
      </c>
      <c r="B18" s="18" t="n">
        <f aca="false">IF(AND(B15&gt;=$B$7,B15&lt;$B$7+$D$7),$E$7,0)</f>
        <v>41666.6666666667</v>
      </c>
      <c r="C18" s="18" t="n">
        <f aca="false">IF(AND(C15&gt;=$B$7,C15&lt;$B$7+$D$7),$E$7,0)</f>
        <v>41666.6666666667</v>
      </c>
      <c r="D18" s="18" t="n">
        <f aca="false">IF(AND(D15&gt;=$B$7,D15&lt;$B$7+$D$7),$E$7,0)</f>
        <v>41666.6666666667</v>
      </c>
      <c r="E18" s="18" t="n">
        <f aca="false">IF(AND(E15&gt;=$B$7,E15&lt;$B$7+$D$7),$E$7,0)</f>
        <v>41666.6666666667</v>
      </c>
      <c r="F18" s="18" t="n">
        <f aca="false">IF(AND(F15&gt;=$B$7,F15&lt;$B$7+$D$7),$E$7,0)</f>
        <v>41666.6666666667</v>
      </c>
      <c r="G18" s="18" t="n">
        <f aca="false">IF(AND(G15&gt;=$B$7,G15&lt;$B$7+$D$7),$E$7,0)</f>
        <v>41666.6666666667</v>
      </c>
      <c r="H18" s="18" t="n">
        <f aca="false">IF(AND(H15&gt;=$B$7,H15&lt;$B$7+$D$7),$E$7,0)</f>
        <v>41666.6666666667</v>
      </c>
      <c r="I18" s="18" t="n">
        <f aca="false">IF(AND(I15&gt;=$B$7,I15&lt;$B$7+$D$7),$E$7,0)</f>
        <v>41666.6666666667</v>
      </c>
      <c r="J18" s="18" t="n">
        <f aca="false">IF(AND(J15&gt;=$B$7,J15&lt;$B$7+$D$7),$E$7,0)</f>
        <v>41666.6666666667</v>
      </c>
      <c r="K18" s="18" t="n">
        <f aca="false">IF(AND(K15&gt;=$B$7,K15&lt;$B$7+$D$7),$E$7,0)</f>
        <v>41666.6666666667</v>
      </c>
      <c r="L18" s="18" t="n">
        <f aca="false">IF(AND(L15&gt;=$B$7,L15&lt;$B$7+$D$7),$E$7,0)</f>
        <v>41666.6666666667</v>
      </c>
      <c r="M18" s="18" t="n">
        <f aca="false">IF(AND(M15&gt;=$B$7,M15&lt;$B$7+$D$7),$E$7,0)</f>
        <v>41666.6666666667</v>
      </c>
      <c r="N18" s="18" t="n">
        <f aca="false">IF(AND(N15&gt;=$B$7,N15&lt;$B$7+$D$7),$E$7,0)</f>
        <v>41666.6666666667</v>
      </c>
      <c r="O18" s="18" t="n">
        <f aca="false">IF(AND(O15&gt;=$B$7,O15&lt;$B$7+$D$7),$E$7,0)</f>
        <v>41666.6666666667</v>
      </c>
      <c r="P18" s="18" t="n">
        <f aca="false">IF(AND(P15&gt;=$B$7,P15&lt;$B$7+$D$7),$E$7,0)</f>
        <v>41666.6666666667</v>
      </c>
      <c r="Q18" s="18" t="n">
        <f aca="false">IF(AND(Q15&gt;=$B$7,Q15&lt;$B$7+$D$7),$E$7,0)</f>
        <v>41666.6666666667</v>
      </c>
      <c r="R18" s="18" t="n">
        <f aca="false">IF(AND(R15&gt;=$B$7,R15&lt;$B$7+$D$7),$E$7,0)</f>
        <v>41666.6666666667</v>
      </c>
      <c r="S18" s="18" t="n">
        <f aca="false">IF(AND(S15&gt;=$B$7,S15&lt;$B$7+$D$7),$E$7,0)</f>
        <v>41666.6666666667</v>
      </c>
      <c r="T18" s="18" t="n">
        <f aca="false">IF(AND(T15&gt;=$B$7,T15&lt;$B$7+$D$7),$E$7,0)</f>
        <v>41666.6666666667</v>
      </c>
      <c r="U18" s="18" t="n">
        <f aca="false">IF(AND(U15&gt;=$B$7,U15&lt;$B$7+$D$7),$E$7,0)</f>
        <v>41666.6666666667</v>
      </c>
      <c r="V18" s="18" t="n">
        <f aca="false">IF(AND(V15&gt;=$B$7,V15&lt;$B$7+$D$7),$E$7,0)</f>
        <v>41666.6666666667</v>
      </c>
      <c r="W18" s="18" t="n">
        <f aca="false">IF(AND(W15&gt;=$B$7,W15&lt;$B$7+$D$7),$E$7,0)</f>
        <v>41666.6666666667</v>
      </c>
      <c r="X18" s="18" t="n">
        <f aca="false">IF(AND(X15&gt;=$B$7,X15&lt;$B$7+$D$7),$E$7,0)</f>
        <v>41666.6666666667</v>
      </c>
      <c r="Y18" s="18" t="n">
        <f aca="false">IF(AND(Y15&gt;=$B$7,Y15&lt;$B$7+$D$7),$E$7,0)</f>
        <v>41666.6666666667</v>
      </c>
      <c r="Z18" s="18" t="n">
        <f aca="false">IF(AND(Z15&gt;=$B$7,Z15&lt;$B$7+$D$7),$E$7,0)</f>
        <v>41666.6666666667</v>
      </c>
      <c r="AA18" s="18" t="n">
        <f aca="false">IF(AND(AA15&gt;=$B$7,AA15&lt;$B$7+$D$7),$E$7,0)</f>
        <v>41666.6666666667</v>
      </c>
      <c r="AB18" s="18" t="n">
        <f aca="false">IF(AND(AB15&gt;=$B$7,AB15&lt;$B$7+$D$7),$E$7,0)</f>
        <v>41666.6666666667</v>
      </c>
      <c r="AC18" s="18" t="n">
        <f aca="false">IF(AND(AC15&gt;=$B$7,AC15&lt;$B$7+$D$7),$E$7,0)</f>
        <v>41666.6666666667</v>
      </c>
      <c r="AD18" s="18" t="n">
        <f aca="false">IF(AND(AD15&gt;=$B$7,AD15&lt;$B$7+$D$7),$E$7,0)</f>
        <v>41666.6666666667</v>
      </c>
      <c r="AE18" s="18" t="n">
        <f aca="false">IF(AND(AE15&gt;=$B$7,AE15&lt;$B$7+$D$7),$E$7,0)</f>
        <v>41666.6666666667</v>
      </c>
      <c r="AF18" s="18" t="n">
        <f aca="false">IF(AND(AF15&gt;=$B$7,AF15&lt;$B$7+$D$7),$E$7,0)</f>
        <v>41666.6666666667</v>
      </c>
      <c r="AG18" s="18" t="n">
        <f aca="false">IF(AND(AG15&gt;=$B$7,AG15&lt;$B$7+$D$7),$E$7,0)</f>
        <v>41666.6666666667</v>
      </c>
      <c r="AH18" s="18" t="n">
        <f aca="false">IF(AND(AH15&gt;=$B$7,AH15&lt;$B$7+$D$7),$E$7,0)</f>
        <v>41666.6666666667</v>
      </c>
      <c r="AI18" s="18" t="n">
        <f aca="false">IF(AND(AI15&gt;=$B$7,AI15&lt;$B$7+$D$7),$E$7,0)</f>
        <v>41666.6666666667</v>
      </c>
      <c r="AJ18" s="18" t="n">
        <f aca="false">IF(AND(AJ15&gt;=$B$7,AJ15&lt;$B$7+$D$7),$E$7,0)</f>
        <v>41666.6666666667</v>
      </c>
      <c r="AK18" s="18" t="n">
        <f aca="false">IF(AND(AK15&gt;=$B$7,AK15&lt;$B$7+$D$7),$E$7,0)</f>
        <v>41666.6666666667</v>
      </c>
    </row>
    <row r="19" customFormat="false" ht="15" hidden="false" customHeight="true" outlineLevel="0" collapsed="false">
      <c r="A19" s="10" t="s">
        <v>82</v>
      </c>
      <c r="B19" s="18" t="n">
        <f aca="false">IF(AND(B15&gt;=$B$8,B15&lt;$B$8+$D$8),$E$8,0)</f>
        <v>8333.33333333333</v>
      </c>
      <c r="C19" s="18" t="n">
        <f aca="false">IF(AND(C15&gt;=$B$8,C15&lt;$B$8+$D$8),$E$8,0)</f>
        <v>8333.33333333333</v>
      </c>
      <c r="D19" s="18" t="n">
        <f aca="false">IF(AND(D15&gt;=$B$8,D15&lt;$B$8+$D$8),$E$8,0)</f>
        <v>8333.33333333333</v>
      </c>
      <c r="E19" s="18" t="n">
        <f aca="false">IF(AND(E15&gt;=$B$8,E15&lt;$B$8+$D$8),$E$8,0)</f>
        <v>8333.33333333333</v>
      </c>
      <c r="F19" s="18" t="n">
        <f aca="false">IF(AND(F15&gt;=$B$8,F15&lt;$B$8+$D$8),$E$8,0)</f>
        <v>8333.33333333333</v>
      </c>
      <c r="G19" s="18" t="n">
        <f aca="false">IF(AND(G15&gt;=$B$8,G15&lt;$B$8+$D$8),$E$8,0)</f>
        <v>8333.33333333333</v>
      </c>
      <c r="H19" s="18" t="n">
        <f aca="false">IF(AND(H15&gt;=$B$8,H15&lt;$B$8+$D$8),$E$8,0)</f>
        <v>8333.33333333333</v>
      </c>
      <c r="I19" s="18" t="n">
        <f aca="false">IF(AND(I15&gt;=$B$8,I15&lt;$B$8+$D$8),$E$8,0)</f>
        <v>8333.33333333333</v>
      </c>
      <c r="J19" s="18" t="n">
        <f aca="false">IF(AND(J15&gt;=$B$8,J15&lt;$B$8+$D$8),$E$8,0)</f>
        <v>8333.33333333333</v>
      </c>
      <c r="K19" s="18" t="n">
        <f aca="false">IF(AND(K15&gt;=$B$8,K15&lt;$B$8+$D$8),$E$8,0)</f>
        <v>8333.33333333333</v>
      </c>
      <c r="L19" s="18" t="n">
        <f aca="false">IF(AND(L15&gt;=$B$8,L15&lt;$B$8+$D$8),$E$8,0)</f>
        <v>8333.33333333333</v>
      </c>
      <c r="M19" s="18" t="n">
        <f aca="false">IF(AND(M15&gt;=$B$8,M15&lt;$B$8+$D$8),$E$8,0)</f>
        <v>8333.33333333333</v>
      </c>
      <c r="N19" s="18" t="n">
        <f aca="false">IF(AND(N15&gt;=$B$8,N15&lt;$B$8+$D$8),$E$8,0)</f>
        <v>8333.33333333333</v>
      </c>
      <c r="O19" s="18" t="n">
        <f aca="false">IF(AND(O15&gt;=$B$8,O15&lt;$B$8+$D$8),$E$8,0)</f>
        <v>8333.33333333333</v>
      </c>
      <c r="P19" s="18" t="n">
        <f aca="false">IF(AND(P15&gt;=$B$8,P15&lt;$B$8+$D$8),$E$8,0)</f>
        <v>8333.33333333333</v>
      </c>
      <c r="Q19" s="18" t="n">
        <f aca="false">IF(AND(Q15&gt;=$B$8,Q15&lt;$B$8+$D$8),$E$8,0)</f>
        <v>8333.33333333333</v>
      </c>
      <c r="R19" s="18" t="n">
        <f aca="false">IF(AND(R15&gt;=$B$8,R15&lt;$B$8+$D$8),$E$8,0)</f>
        <v>8333.33333333333</v>
      </c>
      <c r="S19" s="18" t="n">
        <f aca="false">IF(AND(S15&gt;=$B$8,S15&lt;$B$8+$D$8),$E$8,0)</f>
        <v>8333.33333333333</v>
      </c>
      <c r="T19" s="18" t="n">
        <f aca="false">IF(AND(T15&gt;=$B$8,T15&lt;$B$8+$D$8),$E$8,0)</f>
        <v>8333.33333333333</v>
      </c>
      <c r="U19" s="18" t="n">
        <f aca="false">IF(AND(U15&gt;=$B$8,U15&lt;$B$8+$D$8),$E$8,0)</f>
        <v>8333.33333333333</v>
      </c>
      <c r="V19" s="18" t="n">
        <f aca="false">IF(AND(V15&gt;=$B$8,V15&lt;$B$8+$D$8),$E$8,0)</f>
        <v>8333.33333333333</v>
      </c>
      <c r="W19" s="18" t="n">
        <f aca="false">IF(AND(W15&gt;=$B$8,W15&lt;$B$8+$D$8),$E$8,0)</f>
        <v>8333.33333333333</v>
      </c>
      <c r="X19" s="18" t="n">
        <f aca="false">IF(AND(X15&gt;=$B$8,X15&lt;$B$8+$D$8),$E$8,0)</f>
        <v>8333.33333333333</v>
      </c>
      <c r="Y19" s="18" t="n">
        <f aca="false">IF(AND(Y15&gt;=$B$8,Y15&lt;$B$8+$D$8),$E$8,0)</f>
        <v>8333.33333333333</v>
      </c>
      <c r="Z19" s="18" t="n">
        <f aca="false">IF(AND(Z15&gt;=$B$8,Z15&lt;$B$8+$D$8),$E$8,0)</f>
        <v>8333.33333333333</v>
      </c>
      <c r="AA19" s="18" t="n">
        <f aca="false">IF(AND(AA15&gt;=$B$8,AA15&lt;$B$8+$D$8),$E$8,0)</f>
        <v>8333.33333333333</v>
      </c>
      <c r="AB19" s="18" t="n">
        <f aca="false">IF(AND(AB15&gt;=$B$8,AB15&lt;$B$8+$D$8),$E$8,0)</f>
        <v>8333.33333333333</v>
      </c>
      <c r="AC19" s="18" t="n">
        <f aca="false">IF(AND(AC15&gt;=$B$8,AC15&lt;$B$8+$D$8),$E$8,0)</f>
        <v>8333.33333333333</v>
      </c>
      <c r="AD19" s="18" t="n">
        <f aca="false">IF(AND(AD15&gt;=$B$8,AD15&lt;$B$8+$D$8),$E$8,0)</f>
        <v>8333.33333333333</v>
      </c>
      <c r="AE19" s="18" t="n">
        <f aca="false">IF(AND(AE15&gt;=$B$8,AE15&lt;$B$8+$D$8),$E$8,0)</f>
        <v>8333.33333333333</v>
      </c>
      <c r="AF19" s="18" t="n">
        <f aca="false">IF(AND(AF15&gt;=$B$8,AF15&lt;$B$8+$D$8),$E$8,0)</f>
        <v>8333.33333333333</v>
      </c>
      <c r="AG19" s="18" t="n">
        <f aca="false">IF(AND(AG15&gt;=$B$8,AG15&lt;$B$8+$D$8),$E$8,0)</f>
        <v>8333.33333333333</v>
      </c>
      <c r="AH19" s="18" t="n">
        <f aca="false">IF(AND(AH15&gt;=$B$8,AH15&lt;$B$8+$D$8),$E$8,0)</f>
        <v>8333.33333333333</v>
      </c>
      <c r="AI19" s="18" t="n">
        <f aca="false">IF(AND(AI15&gt;=$B$8,AI15&lt;$B$8+$D$8),$E$8,0)</f>
        <v>8333.33333333333</v>
      </c>
      <c r="AJ19" s="18" t="n">
        <f aca="false">IF(AND(AJ15&gt;=$B$8,AJ15&lt;$B$8+$D$8),$E$8,0)</f>
        <v>8333.33333333333</v>
      </c>
      <c r="AK19" s="18" t="n">
        <f aca="false">IF(AND(AK15&gt;=$B$8,AK15&lt;$B$8+$D$8),$E$8,0)</f>
        <v>8333.33333333333</v>
      </c>
    </row>
    <row r="20" customFormat="false" ht="15" hidden="false" customHeight="true" outlineLevel="0" collapsed="false">
      <c r="A20" s="10" t="s">
        <v>83</v>
      </c>
      <c r="B20" s="18" t="n">
        <f aca="false">IF(AND(B15&gt;=$B$9,B15&lt;$B$9+$D$9),$E$9,0)</f>
        <v>0</v>
      </c>
      <c r="C20" s="18" t="n">
        <f aca="false">IF(AND(C15&gt;=$B$9,C15&lt;$B$9+$D$9),$E$9,0)</f>
        <v>0</v>
      </c>
      <c r="D20" s="18" t="n">
        <f aca="false">IF(AND(D15&gt;=$B$9,D15&lt;$B$9+$D$9),$E$9,0)</f>
        <v>0</v>
      </c>
      <c r="E20" s="18" t="n">
        <f aca="false">IF(AND(E15&gt;=$B$9,E15&lt;$B$9+$D$9),$E$9,0)</f>
        <v>0</v>
      </c>
      <c r="F20" s="18" t="n">
        <f aca="false">IF(AND(F15&gt;=$B$9,F15&lt;$B$9+$D$9),$E$9,0)</f>
        <v>0</v>
      </c>
      <c r="G20" s="18" t="n">
        <f aca="false">IF(AND(G15&gt;=$B$9,G15&lt;$B$9+$D$9),$E$9,0)</f>
        <v>0</v>
      </c>
      <c r="H20" s="18" t="n">
        <f aca="false">IF(AND(H15&gt;=$B$9,H15&lt;$B$9+$D$9),$E$9,0)</f>
        <v>0</v>
      </c>
      <c r="I20" s="18" t="n">
        <f aca="false">IF(AND(I15&gt;=$B$9,I15&lt;$B$9+$D$9),$E$9,0)</f>
        <v>0</v>
      </c>
      <c r="J20" s="18" t="n">
        <f aca="false">IF(AND(J15&gt;=$B$9,J15&lt;$B$9+$D$9),$E$9,0)</f>
        <v>0</v>
      </c>
      <c r="K20" s="18" t="n">
        <f aca="false">IF(AND(K15&gt;=$B$9,K15&lt;$B$9+$D$9),$E$9,0)</f>
        <v>0</v>
      </c>
      <c r="L20" s="18" t="n">
        <f aca="false">IF(AND(L15&gt;=$B$9,L15&lt;$B$9+$D$9),$E$9,0)</f>
        <v>0</v>
      </c>
      <c r="M20" s="18" t="n">
        <f aca="false">IF(AND(M15&gt;=$B$9,M15&lt;$B$9+$D$9),$E$9,0)</f>
        <v>0</v>
      </c>
      <c r="N20" s="18" t="n">
        <f aca="false">IF(AND(N15&gt;=$B$9,N15&lt;$B$9+$D$9),$E$9,0)</f>
        <v>20833.3333333333</v>
      </c>
      <c r="O20" s="18" t="n">
        <f aca="false">IF(AND(O15&gt;=$B$9,O15&lt;$B$9+$D$9),$E$9,0)</f>
        <v>20833.3333333333</v>
      </c>
      <c r="P20" s="18" t="n">
        <f aca="false">IF(AND(P15&gt;=$B$9,P15&lt;$B$9+$D$9),$E$9,0)</f>
        <v>20833.3333333333</v>
      </c>
      <c r="Q20" s="18" t="n">
        <f aca="false">IF(AND(Q15&gt;=$B$9,Q15&lt;$B$9+$D$9),$E$9,0)</f>
        <v>20833.3333333333</v>
      </c>
      <c r="R20" s="18" t="n">
        <f aca="false">IF(AND(R15&gt;=$B$9,R15&lt;$B$9+$D$9),$E$9,0)</f>
        <v>20833.3333333333</v>
      </c>
      <c r="S20" s="18" t="n">
        <f aca="false">IF(AND(S15&gt;=$B$9,S15&lt;$B$9+$D$9),$E$9,0)</f>
        <v>20833.3333333333</v>
      </c>
      <c r="T20" s="18" t="n">
        <f aca="false">IF(AND(T15&gt;=$B$9,T15&lt;$B$9+$D$9),$E$9,0)</f>
        <v>20833.3333333333</v>
      </c>
      <c r="U20" s="18" t="n">
        <f aca="false">IF(AND(U15&gt;=$B$9,U15&lt;$B$9+$D$9),$E$9,0)</f>
        <v>20833.3333333333</v>
      </c>
      <c r="V20" s="18" t="n">
        <f aca="false">IF(AND(V15&gt;=$B$9,V15&lt;$B$9+$D$9),$E$9,0)</f>
        <v>20833.3333333333</v>
      </c>
      <c r="W20" s="18" t="n">
        <f aca="false">IF(AND(W15&gt;=$B$9,W15&lt;$B$9+$D$9),$E$9,0)</f>
        <v>20833.3333333333</v>
      </c>
      <c r="X20" s="18" t="n">
        <f aca="false">IF(AND(X15&gt;=$B$9,X15&lt;$B$9+$D$9),$E$9,0)</f>
        <v>20833.3333333333</v>
      </c>
      <c r="Y20" s="18" t="n">
        <f aca="false">IF(AND(Y15&gt;=$B$9,Y15&lt;$B$9+$D$9),$E$9,0)</f>
        <v>20833.3333333333</v>
      </c>
      <c r="Z20" s="18" t="n">
        <f aca="false">IF(AND(Z15&gt;=$B$9,Z15&lt;$B$9+$D$9),$E$9,0)</f>
        <v>20833.3333333333</v>
      </c>
      <c r="AA20" s="18" t="n">
        <f aca="false">IF(AND(AA15&gt;=$B$9,AA15&lt;$B$9+$D$9),$E$9,0)</f>
        <v>20833.3333333333</v>
      </c>
      <c r="AB20" s="18" t="n">
        <f aca="false">IF(AND(AB15&gt;=$B$9,AB15&lt;$B$9+$D$9),$E$9,0)</f>
        <v>20833.3333333333</v>
      </c>
      <c r="AC20" s="18" t="n">
        <f aca="false">IF(AND(AC15&gt;=$B$9,AC15&lt;$B$9+$D$9),$E$9,0)</f>
        <v>20833.3333333333</v>
      </c>
      <c r="AD20" s="18" t="n">
        <f aca="false">IF(AND(AD15&gt;=$B$9,AD15&lt;$B$9+$D$9),$E$9,0)</f>
        <v>20833.3333333333</v>
      </c>
      <c r="AE20" s="18" t="n">
        <f aca="false">IF(AND(AE15&gt;=$B$9,AE15&lt;$B$9+$D$9),$E$9,0)</f>
        <v>20833.3333333333</v>
      </c>
      <c r="AF20" s="18" t="n">
        <f aca="false">IF(AND(AF15&gt;=$B$9,AF15&lt;$B$9+$D$9),$E$9,0)</f>
        <v>20833.3333333333</v>
      </c>
      <c r="AG20" s="18" t="n">
        <f aca="false">IF(AND(AG15&gt;=$B$9,AG15&lt;$B$9+$D$9),$E$9,0)</f>
        <v>20833.3333333333</v>
      </c>
      <c r="AH20" s="18" t="n">
        <f aca="false">IF(AND(AH15&gt;=$B$9,AH15&lt;$B$9+$D$9),$E$9,0)</f>
        <v>20833.3333333333</v>
      </c>
      <c r="AI20" s="18" t="n">
        <f aca="false">IF(AND(AI15&gt;=$B$9,AI15&lt;$B$9+$D$9),$E$9,0)</f>
        <v>20833.3333333333</v>
      </c>
      <c r="AJ20" s="18" t="n">
        <f aca="false">IF(AND(AJ15&gt;=$B$9,AJ15&lt;$B$9+$D$9),$E$9,0)</f>
        <v>20833.3333333333</v>
      </c>
      <c r="AK20" s="18" t="n">
        <f aca="false">IF(AND(AK15&gt;=$B$9,AK15&lt;$B$9+$D$9),$E$9,0)</f>
        <v>20833.3333333333</v>
      </c>
    </row>
    <row r="21" customFormat="false" ht="15" hidden="false" customHeight="true" outlineLevel="0" collapsed="false">
      <c r="A21" s="10" t="s">
        <v>84</v>
      </c>
      <c r="B21" s="18" t="n">
        <f aca="false">IF(AND(B15&gt;=$B$10,B15&lt;$B$10+$D$10),$E$10,0)</f>
        <v>0</v>
      </c>
      <c r="C21" s="18" t="n">
        <f aca="false">IF(AND(C15&gt;=$B$10,C15&lt;$B$10+$D$10),$E$10,0)</f>
        <v>0</v>
      </c>
      <c r="D21" s="18" t="n">
        <f aca="false">IF(AND(D15&gt;=$B$10,D15&lt;$B$10+$D$10),$E$10,0)</f>
        <v>0</v>
      </c>
      <c r="E21" s="18" t="n">
        <f aca="false">IF(AND(E15&gt;=$B$10,E15&lt;$B$10+$D$10),$E$10,0)</f>
        <v>0</v>
      </c>
      <c r="F21" s="18" t="n">
        <f aca="false">IF(AND(F15&gt;=$B$10,F15&lt;$B$10+$D$10),$E$10,0)</f>
        <v>0</v>
      </c>
      <c r="G21" s="18" t="n">
        <f aca="false">IF(AND(G15&gt;=$B$10,G15&lt;$B$10+$D$10),$E$10,0)</f>
        <v>0</v>
      </c>
      <c r="H21" s="18" t="n">
        <f aca="false">IF(AND(H15&gt;=$B$10,H15&lt;$B$10+$D$10),$E$10,0)</f>
        <v>0</v>
      </c>
      <c r="I21" s="18" t="n">
        <f aca="false">IF(AND(I15&gt;=$B$10,I15&lt;$B$10+$D$10),$E$10,0)</f>
        <v>0</v>
      </c>
      <c r="J21" s="18" t="n">
        <f aca="false">IF(AND(J15&gt;=$B$10,J15&lt;$B$10+$D$10),$E$10,0)</f>
        <v>0</v>
      </c>
      <c r="K21" s="18" t="n">
        <f aca="false">IF(AND(K15&gt;=$B$10,K15&lt;$B$10+$D$10),$E$10,0)</f>
        <v>0</v>
      </c>
      <c r="L21" s="18" t="n">
        <f aca="false">IF(AND(L15&gt;=$B$10,L15&lt;$B$10+$D$10),$E$10,0)</f>
        <v>0</v>
      </c>
      <c r="M21" s="18" t="n">
        <f aca="false">IF(AND(M15&gt;=$B$10,M15&lt;$B$10+$D$10),$E$10,0)</f>
        <v>0</v>
      </c>
      <c r="N21" s="18" t="n">
        <f aca="false">IF(AND(N15&gt;=$B$10,N15&lt;$B$10+$D$10),$E$10,0)</f>
        <v>0</v>
      </c>
      <c r="O21" s="18" t="n">
        <f aca="false">IF(AND(O15&gt;=$B$10,O15&lt;$B$10+$D$10),$E$10,0)</f>
        <v>0</v>
      </c>
      <c r="P21" s="18" t="n">
        <f aca="false">IF(AND(P15&gt;=$B$10,P15&lt;$B$10+$D$10),$E$10,0)</f>
        <v>0</v>
      </c>
      <c r="Q21" s="18" t="n">
        <f aca="false">IF(AND(Q15&gt;=$B$10,Q15&lt;$B$10+$D$10),$E$10,0)</f>
        <v>0</v>
      </c>
      <c r="R21" s="18" t="n">
        <f aca="false">IF(AND(R15&gt;=$B$10,R15&lt;$B$10+$D$10),$E$10,0)</f>
        <v>0</v>
      </c>
      <c r="S21" s="18" t="n">
        <f aca="false">IF(AND(S15&gt;=$B$10,S15&lt;$B$10+$D$10),$E$10,0)</f>
        <v>0</v>
      </c>
      <c r="T21" s="18" t="n">
        <f aca="false">IF(AND(T15&gt;=$B$10,T15&lt;$B$10+$D$10),$E$10,0)</f>
        <v>0</v>
      </c>
      <c r="U21" s="18" t="n">
        <f aca="false">IF(AND(U15&gt;=$B$10,U15&lt;$B$10+$D$10),$E$10,0)</f>
        <v>0</v>
      </c>
      <c r="V21" s="18" t="n">
        <f aca="false">IF(AND(V15&gt;=$B$10,V15&lt;$B$10+$D$10),$E$10,0)</f>
        <v>0</v>
      </c>
      <c r="W21" s="18" t="n">
        <f aca="false">IF(AND(W15&gt;=$B$10,W15&lt;$B$10+$D$10),$E$10,0)</f>
        <v>0</v>
      </c>
      <c r="X21" s="18" t="n">
        <f aca="false">IF(AND(X15&gt;=$B$10,X15&lt;$B$10+$D$10),$E$10,0)</f>
        <v>0</v>
      </c>
      <c r="Y21" s="18" t="n">
        <f aca="false">IF(AND(Y15&gt;=$B$10,Y15&lt;$B$10+$D$10),$E$10,0)</f>
        <v>0</v>
      </c>
      <c r="Z21" s="18" t="n">
        <f aca="false">IF(AND(Z15&gt;=$B$10,Z15&lt;$B$10+$D$10),$E$10,0)</f>
        <v>20833.3333333333</v>
      </c>
      <c r="AA21" s="18" t="n">
        <f aca="false">IF(AND(AA15&gt;=$B$10,AA15&lt;$B$10+$D$10),$E$10,0)</f>
        <v>20833.3333333333</v>
      </c>
      <c r="AB21" s="18" t="n">
        <f aca="false">IF(AND(AB15&gt;=$B$10,AB15&lt;$B$10+$D$10),$E$10,0)</f>
        <v>20833.3333333333</v>
      </c>
      <c r="AC21" s="18" t="n">
        <f aca="false">IF(AND(AC15&gt;=$B$10,AC15&lt;$B$10+$D$10),$E$10,0)</f>
        <v>20833.3333333333</v>
      </c>
      <c r="AD21" s="18" t="n">
        <f aca="false">IF(AND(AD15&gt;=$B$10,AD15&lt;$B$10+$D$10),$E$10,0)</f>
        <v>20833.3333333333</v>
      </c>
      <c r="AE21" s="18" t="n">
        <f aca="false">IF(AND(AE15&gt;=$B$10,AE15&lt;$B$10+$D$10),$E$10,0)</f>
        <v>20833.3333333333</v>
      </c>
      <c r="AF21" s="18" t="n">
        <f aca="false">IF(AND(AF15&gt;=$B$10,AF15&lt;$B$10+$D$10),$E$10,0)</f>
        <v>20833.3333333333</v>
      </c>
      <c r="AG21" s="18" t="n">
        <f aca="false">IF(AND(AG15&gt;=$B$10,AG15&lt;$B$10+$D$10),$E$10,0)</f>
        <v>20833.3333333333</v>
      </c>
      <c r="AH21" s="18" t="n">
        <f aca="false">IF(AND(AH15&gt;=$B$10,AH15&lt;$B$10+$D$10),$E$10,0)</f>
        <v>20833.3333333333</v>
      </c>
      <c r="AI21" s="18" t="n">
        <f aca="false">IF(AND(AI15&gt;=$B$10,AI15&lt;$B$10+$D$10),$E$10,0)</f>
        <v>20833.3333333333</v>
      </c>
      <c r="AJ21" s="18" t="n">
        <f aca="false">IF(AND(AJ15&gt;=$B$10,AJ15&lt;$B$10+$D$10),$E$10,0)</f>
        <v>20833.3333333333</v>
      </c>
      <c r="AK21" s="18" t="n">
        <f aca="false">IF(AND(AK15&gt;=$B$10,AK15&lt;$B$10+$D$10),$E$10,0)</f>
        <v>20833.3333333333</v>
      </c>
    </row>
    <row r="22" customFormat="false" ht="15" hidden="false" customHeight="true" outlineLevel="0" collapsed="false">
      <c r="A22" s="14" t="s">
        <v>87</v>
      </c>
      <c r="B22" s="19" t="n">
        <f aca="false">SUM(B17:B21)</f>
        <v>77777.7777777778</v>
      </c>
      <c r="C22" s="19" t="n">
        <f aca="false">SUM(C17:C21)</f>
        <v>77777.7777777778</v>
      </c>
      <c r="D22" s="19" t="n">
        <f aca="false">SUM(D17:D21)</f>
        <v>77777.7777777778</v>
      </c>
      <c r="E22" s="19" t="n">
        <f aca="false">SUM(E17:E21)</f>
        <v>77777.7777777778</v>
      </c>
      <c r="F22" s="19" t="n">
        <f aca="false">SUM(F17:F21)</f>
        <v>77777.7777777778</v>
      </c>
      <c r="G22" s="19" t="n">
        <f aca="false">SUM(G17:G21)</f>
        <v>77777.7777777778</v>
      </c>
      <c r="H22" s="19" t="n">
        <f aca="false">SUM(H17:H21)</f>
        <v>77777.7777777778</v>
      </c>
      <c r="I22" s="19" t="n">
        <f aca="false">SUM(I17:I21)</f>
        <v>77777.7777777778</v>
      </c>
      <c r="J22" s="19" t="n">
        <f aca="false">SUM(J17:J21)</f>
        <v>77777.7777777778</v>
      </c>
      <c r="K22" s="19" t="n">
        <f aca="false">SUM(K17:K21)</f>
        <v>77777.7777777778</v>
      </c>
      <c r="L22" s="19" t="n">
        <f aca="false">SUM(L17:L21)</f>
        <v>77777.7777777778</v>
      </c>
      <c r="M22" s="19" t="n">
        <f aca="false">SUM(M17:M21)</f>
        <v>77777.7777777778</v>
      </c>
      <c r="N22" s="19" t="n">
        <f aca="false">SUM(N17:N21)</f>
        <v>98611.1111111111</v>
      </c>
      <c r="O22" s="19" t="n">
        <f aca="false">SUM(O17:O21)</f>
        <v>98611.1111111111</v>
      </c>
      <c r="P22" s="19" t="n">
        <f aca="false">SUM(P17:P21)</f>
        <v>98611.1111111111</v>
      </c>
      <c r="Q22" s="19" t="n">
        <f aca="false">SUM(Q17:Q21)</f>
        <v>98611.1111111111</v>
      </c>
      <c r="R22" s="19" t="n">
        <f aca="false">SUM(R17:R21)</f>
        <v>98611.1111111111</v>
      </c>
      <c r="S22" s="19" t="n">
        <f aca="false">SUM(S17:S21)</f>
        <v>98611.1111111111</v>
      </c>
      <c r="T22" s="19" t="n">
        <f aca="false">SUM(T17:T21)</f>
        <v>98611.1111111111</v>
      </c>
      <c r="U22" s="19" t="n">
        <f aca="false">SUM(U17:U21)</f>
        <v>98611.1111111111</v>
      </c>
      <c r="V22" s="19" t="n">
        <f aca="false">SUM(V17:V21)</f>
        <v>98611.1111111111</v>
      </c>
      <c r="W22" s="19" t="n">
        <f aca="false">SUM(W17:W21)</f>
        <v>98611.1111111111</v>
      </c>
      <c r="X22" s="19" t="n">
        <f aca="false">SUM(X17:X21)</f>
        <v>98611.1111111111</v>
      </c>
      <c r="Y22" s="19" t="n">
        <f aca="false">SUM(Y17:Y21)</f>
        <v>98611.1111111111</v>
      </c>
      <c r="Z22" s="19" t="n">
        <f aca="false">SUM(Z17:Z21)</f>
        <v>119444.444444444</v>
      </c>
      <c r="AA22" s="19" t="n">
        <f aca="false">SUM(AA17:AA21)</f>
        <v>119444.444444444</v>
      </c>
      <c r="AB22" s="19" t="n">
        <f aca="false">SUM(AB17:AB21)</f>
        <v>119444.444444444</v>
      </c>
      <c r="AC22" s="19" t="n">
        <f aca="false">SUM(AC17:AC21)</f>
        <v>119444.444444444</v>
      </c>
      <c r="AD22" s="19" t="n">
        <f aca="false">SUM(AD17:AD21)</f>
        <v>119444.444444444</v>
      </c>
      <c r="AE22" s="19" t="n">
        <f aca="false">SUM(AE17:AE21)</f>
        <v>119444.444444444</v>
      </c>
      <c r="AF22" s="19" t="n">
        <f aca="false">SUM(AF17:AF21)</f>
        <v>119444.444444444</v>
      </c>
      <c r="AG22" s="19" t="n">
        <f aca="false">SUM(AG17:AG21)</f>
        <v>119444.444444444</v>
      </c>
      <c r="AH22" s="19" t="n">
        <f aca="false">SUM(AH17:AH21)</f>
        <v>119444.444444444</v>
      </c>
      <c r="AI22" s="19" t="n">
        <f aca="false">SUM(AI17:AI21)</f>
        <v>119444.444444444</v>
      </c>
      <c r="AJ22" s="19" t="n">
        <f aca="false">SUM(AJ17:AJ21)</f>
        <v>119444.444444444</v>
      </c>
      <c r="AK22" s="19" t="n">
        <f aca="false">SUM(AK17:AK21)</f>
        <v>119444.444444444</v>
      </c>
    </row>
    <row r="23" customFormat="false" ht="15" hidden="false" customHeight="true" outlineLevel="0" collapsed="false">
      <c r="A23" s="10" t="s">
        <v>88</v>
      </c>
      <c r="B23" s="18" t="n">
        <f aca="false">B22</f>
        <v>77777.7777777778</v>
      </c>
      <c r="C23" s="18" t="n">
        <f aca="false">B23+C22</f>
        <v>155555.555555556</v>
      </c>
      <c r="D23" s="18" t="n">
        <f aca="false">C23+D22</f>
        <v>233333.333333333</v>
      </c>
      <c r="E23" s="18" t="n">
        <f aca="false">D23+E22</f>
        <v>311111.111111111</v>
      </c>
      <c r="F23" s="18" t="n">
        <f aca="false">E23+F22</f>
        <v>388888.888888889</v>
      </c>
      <c r="G23" s="18" t="n">
        <f aca="false">F23+G22</f>
        <v>466666.666666667</v>
      </c>
      <c r="H23" s="18" t="n">
        <f aca="false">G23+H22</f>
        <v>544444.444444444</v>
      </c>
      <c r="I23" s="18" t="n">
        <f aca="false">H23+I22</f>
        <v>622222.222222222</v>
      </c>
      <c r="J23" s="18" t="n">
        <f aca="false">I23+J22</f>
        <v>700000</v>
      </c>
      <c r="K23" s="18" t="n">
        <f aca="false">J23+K22</f>
        <v>777777.777777778</v>
      </c>
      <c r="L23" s="18" t="n">
        <f aca="false">K23+L22</f>
        <v>855555.555555555</v>
      </c>
      <c r="M23" s="18" t="n">
        <f aca="false">L23+M22</f>
        <v>933333.333333333</v>
      </c>
      <c r="N23" s="18" t="n">
        <f aca="false">M23+N22</f>
        <v>1031944.44444444</v>
      </c>
      <c r="O23" s="18" t="n">
        <f aca="false">N23+O22</f>
        <v>1130555.55555556</v>
      </c>
      <c r="P23" s="18" t="n">
        <f aca="false">O23+P22</f>
        <v>1229166.66666667</v>
      </c>
      <c r="Q23" s="18" t="n">
        <f aca="false">P23+Q22</f>
        <v>1327777.77777778</v>
      </c>
      <c r="R23" s="18" t="n">
        <f aca="false">Q23+R22</f>
        <v>1426388.88888889</v>
      </c>
      <c r="S23" s="18" t="n">
        <f aca="false">R23+S22</f>
        <v>1525000</v>
      </c>
      <c r="T23" s="18" t="n">
        <f aca="false">S23+T22</f>
        <v>1623611.11111111</v>
      </c>
      <c r="U23" s="18" t="n">
        <f aca="false">T23+U22</f>
        <v>1722222.22222222</v>
      </c>
      <c r="V23" s="18" t="n">
        <f aca="false">U23+V22</f>
        <v>1820833.33333333</v>
      </c>
      <c r="W23" s="18" t="n">
        <f aca="false">V23+W22</f>
        <v>1919444.44444444</v>
      </c>
      <c r="X23" s="18" t="n">
        <f aca="false">W23+X22</f>
        <v>2018055.55555555</v>
      </c>
      <c r="Y23" s="18" t="n">
        <f aca="false">X23+Y22</f>
        <v>2116666.66666667</v>
      </c>
      <c r="Z23" s="18" t="n">
        <f aca="false">Y23+Z22</f>
        <v>2236111.11111111</v>
      </c>
      <c r="AA23" s="18" t="n">
        <f aca="false">Z23+AA22</f>
        <v>2355555.55555555</v>
      </c>
      <c r="AB23" s="18" t="n">
        <f aca="false">AA23+AB22</f>
        <v>2475000</v>
      </c>
      <c r="AC23" s="18" t="n">
        <f aca="false">AB23+AC22</f>
        <v>2594444.44444444</v>
      </c>
      <c r="AD23" s="18" t="n">
        <f aca="false">AC23+AD22</f>
        <v>2713888.88888889</v>
      </c>
      <c r="AE23" s="18" t="n">
        <f aca="false">AD23+AE22</f>
        <v>2833333.33333333</v>
      </c>
      <c r="AF23" s="18" t="n">
        <f aca="false">AE23+AF22</f>
        <v>2952777.77777778</v>
      </c>
      <c r="AG23" s="18" t="n">
        <f aca="false">AF23+AG22</f>
        <v>3072222.22222222</v>
      </c>
      <c r="AH23" s="18" t="n">
        <f aca="false">AG23+AH22</f>
        <v>3191666.66666667</v>
      </c>
      <c r="AI23" s="18" t="n">
        <f aca="false">AH23+AI22</f>
        <v>3311111.11111111</v>
      </c>
      <c r="AJ23" s="18" t="n">
        <f aca="false">AI23+AJ22</f>
        <v>3430555.55555556</v>
      </c>
      <c r="AK23" s="18" t="n">
        <f aca="false">AJ23+AK22</f>
        <v>3550000</v>
      </c>
    </row>
    <row r="24" customFormat="false" ht="15" hidden="false" customHeight="true" outlineLevel="0" collapsed="false">
      <c r="A24" s="14" t="s">
        <v>89</v>
      </c>
      <c r="B24" s="19" t="n">
        <f aca="false">SUMPRODUCT(($B$6:$B$10&lt;=B15)*$C$6:$C$10)-B23</f>
        <v>2922222.22222222</v>
      </c>
      <c r="C24" s="19" t="n">
        <f aca="false">SUMPRODUCT(($B$6:$B$10&lt;=C15)*$C$6:$C$10)-C23</f>
        <v>2844444.44444444</v>
      </c>
      <c r="D24" s="19" t="n">
        <f aca="false">SUMPRODUCT(($B$6:$B$10&lt;=D15)*$C$6:$C$10)-D23</f>
        <v>2766666.66666667</v>
      </c>
      <c r="E24" s="19" t="n">
        <f aca="false">SUMPRODUCT(($B$6:$B$10&lt;=E15)*$C$6:$C$10)-E23</f>
        <v>2688888.88888889</v>
      </c>
      <c r="F24" s="19" t="n">
        <f aca="false">SUMPRODUCT(($B$6:$B$10&lt;=F15)*$C$6:$C$10)-F23</f>
        <v>2611111.11111111</v>
      </c>
      <c r="G24" s="19" t="n">
        <f aca="false">SUMPRODUCT(($B$6:$B$10&lt;=G15)*$C$6:$C$10)-G23</f>
        <v>2533333.33333333</v>
      </c>
      <c r="H24" s="19" t="n">
        <f aca="false">SUMPRODUCT(($B$6:$B$10&lt;=H15)*$C$6:$C$10)-H23</f>
        <v>2455555.55555556</v>
      </c>
      <c r="I24" s="19" t="n">
        <f aca="false">SUMPRODUCT(($B$6:$B$10&lt;=I15)*$C$6:$C$10)-I23</f>
        <v>2377777.77777778</v>
      </c>
      <c r="J24" s="19" t="n">
        <f aca="false">SUMPRODUCT(($B$6:$B$10&lt;=J15)*$C$6:$C$10)-J23</f>
        <v>2300000</v>
      </c>
      <c r="K24" s="19" t="n">
        <f aca="false">SUMPRODUCT(($B$6:$B$10&lt;=K15)*$C$6:$C$10)-K23</f>
        <v>2222222.22222222</v>
      </c>
      <c r="L24" s="19" t="n">
        <f aca="false">SUMPRODUCT(($B$6:$B$10&lt;=L15)*$C$6:$C$10)-L23</f>
        <v>2144444.44444444</v>
      </c>
      <c r="M24" s="19" t="n">
        <f aca="false">SUMPRODUCT(($B$6:$B$10&lt;=M15)*$C$6:$C$10)-M23</f>
        <v>2066666.66666667</v>
      </c>
      <c r="N24" s="19" t="n">
        <f aca="false">SUMPRODUCT(($B$6:$B$10&lt;=N15)*$C$6:$C$10)-N23</f>
        <v>2718055.55555556</v>
      </c>
      <c r="O24" s="19" t="n">
        <f aca="false">SUMPRODUCT(($B$6:$B$10&lt;=O15)*$C$6:$C$10)-O23</f>
        <v>2619444.44444445</v>
      </c>
      <c r="P24" s="19" t="n">
        <f aca="false">SUMPRODUCT(($B$6:$B$10&lt;=P15)*$C$6:$C$10)-P23</f>
        <v>2520833.33333333</v>
      </c>
      <c r="Q24" s="19" t="n">
        <f aca="false">SUMPRODUCT(($B$6:$B$10&lt;=Q15)*$C$6:$C$10)-Q23</f>
        <v>2422222.22222222</v>
      </c>
      <c r="R24" s="19" t="n">
        <f aca="false">SUMPRODUCT(($B$6:$B$10&lt;=R15)*$C$6:$C$10)-R23</f>
        <v>2323611.11111111</v>
      </c>
      <c r="S24" s="19" t="n">
        <f aca="false">SUMPRODUCT(($B$6:$B$10&lt;=S15)*$C$6:$C$10)-S23</f>
        <v>2225000</v>
      </c>
      <c r="T24" s="19" t="n">
        <f aca="false">SUMPRODUCT(($B$6:$B$10&lt;=T15)*$C$6:$C$10)-T23</f>
        <v>2126388.88888889</v>
      </c>
      <c r="U24" s="19" t="n">
        <f aca="false">SUMPRODUCT(($B$6:$B$10&lt;=U15)*$C$6:$C$10)-U23</f>
        <v>2027777.77777778</v>
      </c>
      <c r="V24" s="19" t="n">
        <f aca="false">SUMPRODUCT(($B$6:$B$10&lt;=V15)*$C$6:$C$10)-V23</f>
        <v>1929166.66666667</v>
      </c>
      <c r="W24" s="19" t="n">
        <f aca="false">SUMPRODUCT(($B$6:$B$10&lt;=W15)*$C$6:$C$10)-W23</f>
        <v>1830555.55555556</v>
      </c>
      <c r="X24" s="19" t="n">
        <f aca="false">SUMPRODUCT(($B$6:$B$10&lt;=X15)*$C$6:$C$10)-X23</f>
        <v>1731944.44444445</v>
      </c>
      <c r="Y24" s="19" t="n">
        <f aca="false">SUMPRODUCT(($B$6:$B$10&lt;=Y15)*$C$6:$C$10)-Y23</f>
        <v>1633333.33333333</v>
      </c>
      <c r="Z24" s="19" t="n">
        <f aca="false">SUMPRODUCT(($B$6:$B$10&lt;=Z15)*$C$6:$C$10)-Z23</f>
        <v>2263888.88888889</v>
      </c>
      <c r="AA24" s="19" t="n">
        <f aca="false">SUMPRODUCT(($B$6:$B$10&lt;=AA15)*$C$6:$C$10)-AA23</f>
        <v>2144444.44444445</v>
      </c>
      <c r="AB24" s="19" t="n">
        <f aca="false">SUMPRODUCT(($B$6:$B$10&lt;=AB15)*$C$6:$C$10)-AB23</f>
        <v>2025000</v>
      </c>
      <c r="AC24" s="19" t="n">
        <f aca="false">SUMPRODUCT(($B$6:$B$10&lt;=AC15)*$C$6:$C$10)-AC23</f>
        <v>1905555.55555556</v>
      </c>
      <c r="AD24" s="19" t="n">
        <f aca="false">SUMPRODUCT(($B$6:$B$10&lt;=AD15)*$C$6:$C$10)-AD23</f>
        <v>1786111.11111111</v>
      </c>
      <c r="AE24" s="19" t="n">
        <f aca="false">SUMPRODUCT(($B$6:$B$10&lt;=AE15)*$C$6:$C$10)-AE23</f>
        <v>1666666.66666667</v>
      </c>
      <c r="AF24" s="19" t="n">
        <f aca="false">SUMPRODUCT(($B$6:$B$10&lt;=AF15)*$C$6:$C$10)-AF23</f>
        <v>1547222.22222222</v>
      </c>
      <c r="AG24" s="19" t="n">
        <f aca="false">SUMPRODUCT(($B$6:$B$10&lt;=AG15)*$C$6:$C$10)-AG23</f>
        <v>1427777.77777778</v>
      </c>
      <c r="AH24" s="19" t="n">
        <f aca="false">SUMPRODUCT(($B$6:$B$10&lt;=AH15)*$C$6:$C$10)-AH23</f>
        <v>1308333.33333333</v>
      </c>
      <c r="AI24" s="19" t="n">
        <f aca="false">SUMPRODUCT(($B$6:$B$10&lt;=AI15)*$C$6:$C$10)-AI23</f>
        <v>1188888.88888889</v>
      </c>
      <c r="AJ24" s="19" t="n">
        <f aca="false">SUMPRODUCT(($B$6:$B$10&lt;=AJ15)*$C$6:$C$10)-AJ23</f>
        <v>1069444.44444445</v>
      </c>
      <c r="AK24" s="19" t="n">
        <f aca="false">SUMPRODUCT(($B$6:$B$10&lt;=AK15)*$C$6:$C$10)-AK23</f>
        <v>950000.000000001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7" min="2" style="1" width="12"/>
  </cols>
  <sheetData>
    <row r="1" customFormat="false" ht="17.25" hidden="false" customHeight="true" outlineLevel="0" collapsed="false">
      <c r="A1" s="12" t="s">
        <v>90</v>
      </c>
    </row>
    <row r="2" customFormat="false" ht="15" hidden="false" customHeight="true" outlineLevel="0" collapsed="false">
      <c r="A2" s="3" t="s">
        <v>91</v>
      </c>
    </row>
    <row r="3" customFormat="false" ht="15" hidden="false" customHeight="true" outlineLevel="0" collapsed="false">
      <c r="A3" s="13" t="s">
        <v>92</v>
      </c>
    </row>
    <row r="5" customFormat="false" ht="15" hidden="false" customHeight="true" outlineLevel="0" collapsed="false">
      <c r="A5" s="14" t="s">
        <v>27</v>
      </c>
      <c r="B5" s="15" t="n">
        <v>1</v>
      </c>
      <c r="C5" s="15" t="n">
        <v>1</v>
      </c>
      <c r="D5" s="15" t="n">
        <v>1</v>
      </c>
      <c r="E5" s="15" t="n">
        <v>1</v>
      </c>
      <c r="F5" s="15" t="n">
        <v>1</v>
      </c>
      <c r="G5" s="15" t="n">
        <v>1</v>
      </c>
      <c r="H5" s="15" t="n">
        <v>1</v>
      </c>
      <c r="I5" s="15" t="n">
        <v>1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2</v>
      </c>
      <c r="O5" s="15" t="n">
        <v>2</v>
      </c>
      <c r="P5" s="15" t="n">
        <v>2</v>
      </c>
      <c r="Q5" s="15" t="n">
        <v>2</v>
      </c>
      <c r="R5" s="15" t="n">
        <v>2</v>
      </c>
      <c r="S5" s="15" t="n">
        <v>2</v>
      </c>
      <c r="T5" s="15" t="n">
        <v>2</v>
      </c>
      <c r="U5" s="15" t="n">
        <v>2</v>
      </c>
      <c r="V5" s="15" t="n">
        <v>2</v>
      </c>
      <c r="W5" s="15" t="n">
        <v>2</v>
      </c>
      <c r="X5" s="15" t="n">
        <v>2</v>
      </c>
      <c r="Y5" s="15" t="n">
        <v>2</v>
      </c>
      <c r="Z5" s="15" t="n">
        <v>3</v>
      </c>
      <c r="AA5" s="15" t="n">
        <v>3</v>
      </c>
      <c r="AB5" s="15" t="n">
        <v>3</v>
      </c>
      <c r="AC5" s="15" t="n">
        <v>3</v>
      </c>
      <c r="AD5" s="15" t="n">
        <v>3</v>
      </c>
      <c r="AE5" s="15" t="n">
        <v>3</v>
      </c>
      <c r="AF5" s="15" t="n">
        <v>3</v>
      </c>
      <c r="AG5" s="15" t="n">
        <v>3</v>
      </c>
      <c r="AH5" s="15" t="n">
        <v>3</v>
      </c>
      <c r="AI5" s="15" t="n">
        <v>3</v>
      </c>
      <c r="AJ5" s="15" t="n">
        <v>3</v>
      </c>
      <c r="AK5" s="15" t="n">
        <v>3</v>
      </c>
    </row>
    <row r="6" customFormat="false" ht="15" hidden="false" customHeight="true" outlineLevel="0" collapsed="false">
      <c r="A6" s="14" t="s">
        <v>28</v>
      </c>
      <c r="B6" s="15" t="n">
        <v>1</v>
      </c>
      <c r="C6" s="15" t="n">
        <v>2</v>
      </c>
      <c r="D6" s="15" t="n">
        <v>3</v>
      </c>
      <c r="E6" s="15" t="n">
        <v>4</v>
      </c>
      <c r="F6" s="15" t="n">
        <v>5</v>
      </c>
      <c r="G6" s="15" t="n">
        <v>6</v>
      </c>
      <c r="H6" s="15" t="n">
        <v>7</v>
      </c>
      <c r="I6" s="15" t="n">
        <v>8</v>
      </c>
      <c r="J6" s="15" t="n">
        <v>9</v>
      </c>
      <c r="K6" s="15" t="n">
        <v>10</v>
      </c>
      <c r="L6" s="15" t="n">
        <v>11</v>
      </c>
      <c r="M6" s="15" t="n">
        <v>12</v>
      </c>
      <c r="N6" s="15" t="n">
        <v>13</v>
      </c>
      <c r="O6" s="15" t="n">
        <v>14</v>
      </c>
      <c r="P6" s="15" t="n">
        <v>15</v>
      </c>
      <c r="Q6" s="15" t="n">
        <v>16</v>
      </c>
      <c r="R6" s="15" t="n">
        <v>17</v>
      </c>
      <c r="S6" s="15" t="n">
        <v>18</v>
      </c>
      <c r="T6" s="15" t="n">
        <v>19</v>
      </c>
      <c r="U6" s="15" t="n">
        <v>20</v>
      </c>
      <c r="V6" s="15" t="n">
        <v>21</v>
      </c>
      <c r="W6" s="15" t="n">
        <v>22</v>
      </c>
      <c r="X6" s="15" t="n">
        <v>23</v>
      </c>
      <c r="Y6" s="15" t="n">
        <v>24</v>
      </c>
      <c r="Z6" s="15" t="n">
        <v>25</v>
      </c>
      <c r="AA6" s="15" t="n">
        <v>26</v>
      </c>
      <c r="AB6" s="15" t="n">
        <v>27</v>
      </c>
      <c r="AC6" s="15" t="n">
        <v>28</v>
      </c>
      <c r="AD6" s="15" t="n">
        <v>29</v>
      </c>
      <c r="AE6" s="15" t="n">
        <v>30</v>
      </c>
      <c r="AF6" s="15" t="n">
        <v>31</v>
      </c>
      <c r="AG6" s="15" t="n">
        <v>32</v>
      </c>
      <c r="AH6" s="15" t="n">
        <v>33</v>
      </c>
      <c r="AI6" s="15" t="n">
        <v>34</v>
      </c>
      <c r="AJ6" s="15" t="n">
        <v>35</v>
      </c>
      <c r="AK6" s="15" t="n">
        <v>36</v>
      </c>
    </row>
    <row r="8" customFormat="false" ht="15" hidden="false" customHeight="true" outlineLevel="0" collapsed="false">
      <c r="A8" s="14" t="s">
        <v>93</v>
      </c>
      <c r="B8" s="23" t="n">
        <f aca="false">Assumptions!B24</f>
        <v>666666.666666667</v>
      </c>
      <c r="C8" s="23" t="n">
        <f aca="false">Assumptions!C24</f>
        <v>666666.666666667</v>
      </c>
      <c r="D8" s="23" t="n">
        <f aca="false">Assumptions!D24</f>
        <v>666666.666666667</v>
      </c>
      <c r="E8" s="23" t="n">
        <f aca="false">Assumptions!E24</f>
        <v>1333333.33333333</v>
      </c>
      <c r="F8" s="23" t="n">
        <f aca="false">Assumptions!F24</f>
        <v>1333333.33333333</v>
      </c>
      <c r="G8" s="23" t="n">
        <f aca="false">Assumptions!G24</f>
        <v>1333333.33333333</v>
      </c>
      <c r="H8" s="23" t="n">
        <f aca="false">Assumptions!H24</f>
        <v>1333333.33333333</v>
      </c>
      <c r="I8" s="23" t="n">
        <f aca="false">Assumptions!I24</f>
        <v>1333333.33333333</v>
      </c>
      <c r="J8" s="23" t="n">
        <f aca="false">Assumptions!J24</f>
        <v>1333333.33333333</v>
      </c>
      <c r="K8" s="23" t="n">
        <f aca="false">Assumptions!K24</f>
        <v>2000000</v>
      </c>
      <c r="L8" s="23" t="n">
        <f aca="false">Assumptions!L24</f>
        <v>2000000</v>
      </c>
      <c r="M8" s="23" t="n">
        <f aca="false">Assumptions!M24</f>
        <v>2000000</v>
      </c>
      <c r="N8" s="23" t="n">
        <f aca="false">Assumptions!N24</f>
        <v>3158333.33333333</v>
      </c>
      <c r="O8" s="23" t="n">
        <f aca="false">Assumptions!O24</f>
        <v>3383333.33333333</v>
      </c>
      <c r="P8" s="23" t="n">
        <f aca="false">Assumptions!P24</f>
        <v>3608333.33333333</v>
      </c>
      <c r="Q8" s="23" t="n">
        <f aca="false">Assumptions!Q24</f>
        <v>4566666.66666667</v>
      </c>
      <c r="R8" s="23" t="n">
        <f aca="false">Assumptions!R24</f>
        <v>4791666.66666667</v>
      </c>
      <c r="S8" s="23" t="n">
        <f aca="false">Assumptions!S24</f>
        <v>5016666.66666667</v>
      </c>
      <c r="T8" s="23" t="n">
        <f aca="false">Assumptions!T24</f>
        <v>5975000</v>
      </c>
      <c r="U8" s="23" t="n">
        <f aca="false">Assumptions!U24</f>
        <v>6200000</v>
      </c>
      <c r="V8" s="23" t="n">
        <f aca="false">Assumptions!V24</f>
        <v>6425000</v>
      </c>
      <c r="W8" s="23" t="n">
        <f aca="false">Assumptions!W24</f>
        <v>8116666.66666667</v>
      </c>
      <c r="X8" s="23" t="n">
        <f aca="false">Assumptions!X24</f>
        <v>8341666.66666667</v>
      </c>
      <c r="Y8" s="23" t="n">
        <f aca="false">Assumptions!Y24</f>
        <v>8566666.66666667</v>
      </c>
      <c r="Z8" s="23" t="n">
        <f aca="false">Assumptions!Z24</f>
        <v>11846666.6666667</v>
      </c>
      <c r="AA8" s="23" t="n">
        <f aca="false">Assumptions!AA24</f>
        <v>12791666.6666667</v>
      </c>
      <c r="AB8" s="23" t="n">
        <f aca="false">Assumptions!AB24</f>
        <v>13736666.6666667</v>
      </c>
      <c r="AC8" s="23" t="n">
        <f aca="false">Assumptions!AC24</f>
        <v>16295000</v>
      </c>
      <c r="AD8" s="23" t="n">
        <f aca="false">Assumptions!AD24</f>
        <v>17240000</v>
      </c>
      <c r="AE8" s="23" t="n">
        <f aca="false">Assumptions!AE24</f>
        <v>18185000</v>
      </c>
      <c r="AF8" s="23" t="n">
        <f aca="false">Assumptions!AF24</f>
        <v>21550000</v>
      </c>
      <c r="AG8" s="23" t="n">
        <f aca="false">Assumptions!AG24</f>
        <v>22495000</v>
      </c>
      <c r="AH8" s="23" t="n">
        <f aca="false">Assumptions!AH24</f>
        <v>23440000</v>
      </c>
      <c r="AI8" s="23" t="n">
        <f aca="false">Assumptions!AI24</f>
        <v>26805000</v>
      </c>
      <c r="AJ8" s="23" t="n">
        <f aca="false">Assumptions!AJ24</f>
        <v>27750000</v>
      </c>
      <c r="AK8" s="23" t="n">
        <f aca="false">Assumptions!AK24</f>
        <v>28695000</v>
      </c>
    </row>
    <row r="9" customFormat="false" ht="15" hidden="false" customHeight="true" outlineLevel="0" collapsed="false">
      <c r="A9" s="10" t="s">
        <v>94</v>
      </c>
      <c r="B9" s="23" t="n">
        <f aca="false">Assumptions!B36</f>
        <v>50000</v>
      </c>
      <c r="C9" s="23" t="n">
        <f aca="false">Assumptions!C36</f>
        <v>50000</v>
      </c>
      <c r="D9" s="23" t="n">
        <f aca="false">Assumptions!D36</f>
        <v>50000</v>
      </c>
      <c r="E9" s="23" t="n">
        <f aca="false">Assumptions!E36</f>
        <v>100000</v>
      </c>
      <c r="F9" s="23" t="n">
        <f aca="false">Assumptions!F36</f>
        <v>100000</v>
      </c>
      <c r="G9" s="23" t="n">
        <f aca="false">Assumptions!G36</f>
        <v>100000</v>
      </c>
      <c r="H9" s="23" t="n">
        <f aca="false">Assumptions!H36</f>
        <v>100000</v>
      </c>
      <c r="I9" s="23" t="n">
        <f aca="false">Assumptions!I36</f>
        <v>100000</v>
      </c>
      <c r="J9" s="23" t="n">
        <f aca="false">Assumptions!J36</f>
        <v>100000</v>
      </c>
      <c r="K9" s="23" t="n">
        <f aca="false">Assumptions!K36</f>
        <v>150000</v>
      </c>
      <c r="L9" s="23" t="n">
        <f aca="false">Assumptions!L36</f>
        <v>150000</v>
      </c>
      <c r="M9" s="23" t="n">
        <f aca="false">Assumptions!M36</f>
        <v>150000</v>
      </c>
      <c r="N9" s="23" t="n">
        <f aca="false">Assumptions!N36</f>
        <v>220000</v>
      </c>
      <c r="O9" s="23" t="n">
        <f aca="false">Assumptions!O36</f>
        <v>230000</v>
      </c>
      <c r="P9" s="23" t="n">
        <f aca="false">Assumptions!P36</f>
        <v>240000</v>
      </c>
      <c r="Q9" s="23" t="n">
        <f aca="false">Assumptions!Q36</f>
        <v>302500</v>
      </c>
      <c r="R9" s="23" t="n">
        <f aca="false">Assumptions!R36</f>
        <v>312500</v>
      </c>
      <c r="S9" s="23" t="n">
        <f aca="false">Assumptions!S36</f>
        <v>322500</v>
      </c>
      <c r="T9" s="23" t="n">
        <f aca="false">Assumptions!T36</f>
        <v>385000</v>
      </c>
      <c r="U9" s="23" t="n">
        <f aca="false">Assumptions!U36</f>
        <v>395000</v>
      </c>
      <c r="V9" s="23" t="n">
        <f aca="false">Assumptions!V36</f>
        <v>405000</v>
      </c>
      <c r="W9" s="23" t="n">
        <f aca="false">Assumptions!W36</f>
        <v>520000</v>
      </c>
      <c r="X9" s="23" t="n">
        <f aca="false">Assumptions!X36</f>
        <v>530000</v>
      </c>
      <c r="Y9" s="23" t="n">
        <f aca="false">Assumptions!Y36</f>
        <v>540000</v>
      </c>
      <c r="Z9" s="23" t="n">
        <f aca="false">Assumptions!Z36</f>
        <v>719250</v>
      </c>
      <c r="AA9" s="23" t="n">
        <f aca="false">Assumptions!AA36</f>
        <v>761250</v>
      </c>
      <c r="AB9" s="23" t="n">
        <f aca="false">Assumptions!AB36</f>
        <v>803250</v>
      </c>
      <c r="AC9" s="23" t="n">
        <f aca="false">Assumptions!AC36</f>
        <v>955500</v>
      </c>
      <c r="AD9" s="23" t="n">
        <f aca="false">Assumptions!AD36</f>
        <v>997500</v>
      </c>
      <c r="AE9" s="23" t="n">
        <f aca="false">Assumptions!AE36</f>
        <v>1039500</v>
      </c>
      <c r="AF9" s="23" t="n">
        <f aca="false">Assumptions!AF36</f>
        <v>1246875</v>
      </c>
      <c r="AG9" s="23" t="n">
        <f aca="false">Assumptions!AG36</f>
        <v>1288875</v>
      </c>
      <c r="AH9" s="23" t="n">
        <f aca="false">Assumptions!AH36</f>
        <v>1330875</v>
      </c>
      <c r="AI9" s="23" t="n">
        <f aca="false">Assumptions!AI36</f>
        <v>1538250</v>
      </c>
      <c r="AJ9" s="23" t="n">
        <f aca="false">Assumptions!AJ36</f>
        <v>1580250</v>
      </c>
      <c r="AK9" s="23" t="n">
        <f aca="false">Assumptions!AK36</f>
        <v>1622250</v>
      </c>
    </row>
    <row r="10" customFormat="false" ht="15" hidden="false" customHeight="true" outlineLevel="0" collapsed="false">
      <c r="A10" s="14" t="s">
        <v>95</v>
      </c>
      <c r="B10" s="19" t="n">
        <f aca="false">B8-B9</f>
        <v>616666.666666667</v>
      </c>
      <c r="C10" s="19" t="n">
        <f aca="false">C8-C9</f>
        <v>616666.666666667</v>
      </c>
      <c r="D10" s="19" t="n">
        <f aca="false">D8-D9</f>
        <v>616666.666666667</v>
      </c>
      <c r="E10" s="19" t="n">
        <f aca="false">E8-E9</f>
        <v>1233333.33333333</v>
      </c>
      <c r="F10" s="19" t="n">
        <f aca="false">F8-F9</f>
        <v>1233333.33333333</v>
      </c>
      <c r="G10" s="19" t="n">
        <f aca="false">G8-G9</f>
        <v>1233333.33333333</v>
      </c>
      <c r="H10" s="19" t="n">
        <f aca="false">H8-H9</f>
        <v>1233333.33333333</v>
      </c>
      <c r="I10" s="19" t="n">
        <f aca="false">I8-I9</f>
        <v>1233333.33333333</v>
      </c>
      <c r="J10" s="19" t="n">
        <f aca="false">J8-J9</f>
        <v>1233333.33333333</v>
      </c>
      <c r="K10" s="19" t="n">
        <f aca="false">K8-K9</f>
        <v>1850000</v>
      </c>
      <c r="L10" s="19" t="n">
        <f aca="false">L8-L9</f>
        <v>1850000</v>
      </c>
      <c r="M10" s="19" t="n">
        <f aca="false">M8-M9</f>
        <v>1850000</v>
      </c>
      <c r="N10" s="19" t="n">
        <f aca="false">N8-N9</f>
        <v>2938333.33333333</v>
      </c>
      <c r="O10" s="19" t="n">
        <f aca="false">O8-O9</f>
        <v>3153333.33333333</v>
      </c>
      <c r="P10" s="19" t="n">
        <f aca="false">P8-P9</f>
        <v>3368333.33333333</v>
      </c>
      <c r="Q10" s="19" t="n">
        <f aca="false">Q8-Q9</f>
        <v>4264166.66666667</v>
      </c>
      <c r="R10" s="19" t="n">
        <f aca="false">R8-R9</f>
        <v>4479166.66666667</v>
      </c>
      <c r="S10" s="19" t="n">
        <f aca="false">S8-S9</f>
        <v>4694166.66666667</v>
      </c>
      <c r="T10" s="19" t="n">
        <f aca="false">T8-T9</f>
        <v>5590000</v>
      </c>
      <c r="U10" s="19" t="n">
        <f aca="false">U8-U9</f>
        <v>5805000</v>
      </c>
      <c r="V10" s="19" t="n">
        <f aca="false">V8-V9</f>
        <v>6020000</v>
      </c>
      <c r="W10" s="19" t="n">
        <f aca="false">W8-W9</f>
        <v>7596666.66666667</v>
      </c>
      <c r="X10" s="19" t="n">
        <f aca="false">X8-X9</f>
        <v>7811666.66666667</v>
      </c>
      <c r="Y10" s="19" t="n">
        <f aca="false">Y8-Y9</f>
        <v>8026666.66666667</v>
      </c>
      <c r="Z10" s="19" t="n">
        <f aca="false">Z8-Z9</f>
        <v>11127416.6666667</v>
      </c>
      <c r="AA10" s="19" t="n">
        <f aca="false">AA8-AA9</f>
        <v>12030416.6666667</v>
      </c>
      <c r="AB10" s="19" t="n">
        <f aca="false">AB8-AB9</f>
        <v>12933416.6666667</v>
      </c>
      <c r="AC10" s="19" t="n">
        <f aca="false">AC8-AC9</f>
        <v>15339500</v>
      </c>
      <c r="AD10" s="19" t="n">
        <f aca="false">AD8-AD9</f>
        <v>16242500</v>
      </c>
      <c r="AE10" s="19" t="n">
        <f aca="false">AE8-AE9</f>
        <v>17145500</v>
      </c>
      <c r="AF10" s="19" t="n">
        <f aca="false">AF8-AF9</f>
        <v>20303125</v>
      </c>
      <c r="AG10" s="19" t="n">
        <f aca="false">AG8-AG9</f>
        <v>21206125</v>
      </c>
      <c r="AH10" s="19" t="n">
        <f aca="false">AH8-AH9</f>
        <v>22109125</v>
      </c>
      <c r="AI10" s="19" t="n">
        <f aca="false">AI8-AI9</f>
        <v>25266750</v>
      </c>
      <c r="AJ10" s="19" t="n">
        <f aca="false">AJ8-AJ9</f>
        <v>26169750</v>
      </c>
      <c r="AK10" s="19" t="n">
        <f aca="false">AK8-AK9</f>
        <v>27072750</v>
      </c>
    </row>
    <row r="12" customFormat="false" ht="15" hidden="false" customHeight="true" outlineLevel="0" collapsed="false">
      <c r="A12" s="4" t="s">
        <v>96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customFormat="false" ht="15" hidden="false" customHeight="true" outlineLevel="0" collapsed="false">
      <c r="A13" s="10" t="s">
        <v>97</v>
      </c>
      <c r="B13" s="23" t="n">
        <f aca="false">Assumptions!B40</f>
        <v>53333.3333333333</v>
      </c>
      <c r="C13" s="23" t="n">
        <f aca="false">Assumptions!C40</f>
        <v>53333.3333333333</v>
      </c>
      <c r="D13" s="23" t="n">
        <f aca="false">Assumptions!D40</f>
        <v>53333.3333333333</v>
      </c>
      <c r="E13" s="23" t="n">
        <f aca="false">Assumptions!E40</f>
        <v>106666.666666667</v>
      </c>
      <c r="F13" s="23" t="n">
        <f aca="false">Assumptions!F40</f>
        <v>106666.666666667</v>
      </c>
      <c r="G13" s="23" t="n">
        <f aca="false">Assumptions!G40</f>
        <v>106666.666666667</v>
      </c>
      <c r="H13" s="23" t="n">
        <f aca="false">Assumptions!H40</f>
        <v>106666.666666667</v>
      </c>
      <c r="I13" s="23" t="n">
        <f aca="false">Assumptions!I40</f>
        <v>106666.666666667</v>
      </c>
      <c r="J13" s="23" t="n">
        <f aca="false">Assumptions!J40</f>
        <v>106666.666666667</v>
      </c>
      <c r="K13" s="23" t="n">
        <f aca="false">Assumptions!K40</f>
        <v>160000</v>
      </c>
      <c r="L13" s="23" t="n">
        <f aca="false">Assumptions!L40</f>
        <v>160000</v>
      </c>
      <c r="M13" s="23" t="n">
        <f aca="false">Assumptions!M40</f>
        <v>160000</v>
      </c>
      <c r="N13" s="23" t="n">
        <f aca="false">Assumptions!N40</f>
        <v>252666.666666667</v>
      </c>
      <c r="O13" s="23" t="n">
        <f aca="false">Assumptions!O40</f>
        <v>270666.666666667</v>
      </c>
      <c r="P13" s="23" t="n">
        <f aca="false">Assumptions!P40</f>
        <v>288666.666666667</v>
      </c>
      <c r="Q13" s="23" t="n">
        <f aca="false">Assumptions!Q40</f>
        <v>365333.333333333</v>
      </c>
      <c r="R13" s="23" t="n">
        <f aca="false">Assumptions!R40</f>
        <v>383333.333333333</v>
      </c>
      <c r="S13" s="23" t="n">
        <f aca="false">Assumptions!S40</f>
        <v>401333.333333333</v>
      </c>
      <c r="T13" s="23" t="n">
        <f aca="false">Assumptions!T40</f>
        <v>478000</v>
      </c>
      <c r="U13" s="23" t="n">
        <f aca="false">Assumptions!U40</f>
        <v>496000</v>
      </c>
      <c r="V13" s="23" t="n">
        <f aca="false">Assumptions!V40</f>
        <v>514000</v>
      </c>
      <c r="W13" s="23" t="n">
        <f aca="false">Assumptions!W40</f>
        <v>649333.333333333</v>
      </c>
      <c r="X13" s="23" t="n">
        <f aca="false">Assumptions!X40</f>
        <v>667333.333333333</v>
      </c>
      <c r="Y13" s="23" t="n">
        <f aca="false">Assumptions!Y40</f>
        <v>685333.333333334</v>
      </c>
      <c r="Z13" s="23" t="n">
        <f aca="false">Assumptions!Z40</f>
        <v>947733.333333334</v>
      </c>
      <c r="AA13" s="23" t="n">
        <f aca="false">Assumptions!AA40</f>
        <v>1023333.33333333</v>
      </c>
      <c r="AB13" s="23" t="n">
        <f aca="false">Assumptions!AB40</f>
        <v>1098933.33333333</v>
      </c>
      <c r="AC13" s="23" t="n">
        <f aca="false">Assumptions!AC40</f>
        <v>1303600</v>
      </c>
      <c r="AD13" s="23" t="n">
        <f aca="false">Assumptions!AD40</f>
        <v>1379200</v>
      </c>
      <c r="AE13" s="23" t="n">
        <f aca="false">Assumptions!AE40</f>
        <v>1454800</v>
      </c>
      <c r="AF13" s="23" t="n">
        <f aca="false">Assumptions!AF40</f>
        <v>1724000</v>
      </c>
      <c r="AG13" s="23" t="n">
        <f aca="false">Assumptions!AG40</f>
        <v>1799600</v>
      </c>
      <c r="AH13" s="23" t="n">
        <f aca="false">Assumptions!AH40</f>
        <v>1875200</v>
      </c>
      <c r="AI13" s="23" t="n">
        <f aca="false">Assumptions!AI40</f>
        <v>2144400</v>
      </c>
      <c r="AJ13" s="23" t="n">
        <f aca="false">Assumptions!AJ40</f>
        <v>2220000</v>
      </c>
      <c r="AK13" s="23" t="n">
        <f aca="false">Assumptions!AK40</f>
        <v>2295600</v>
      </c>
    </row>
    <row r="14" customFormat="false" ht="15" hidden="false" customHeight="true" outlineLevel="0" collapsed="false">
      <c r="A14" s="10" t="s">
        <v>98</v>
      </c>
      <c r="B14" s="23" t="n">
        <f aca="false">Salary!B28</f>
        <v>1050000</v>
      </c>
      <c r="C14" s="23" t="n">
        <f aca="false">Salary!C28</f>
        <v>1050000</v>
      </c>
      <c r="D14" s="23" t="n">
        <f aca="false">Salary!D28</f>
        <v>1050000</v>
      </c>
      <c r="E14" s="23" t="n">
        <f aca="false">Salary!E28</f>
        <v>1050000</v>
      </c>
      <c r="F14" s="23" t="n">
        <f aca="false">Salary!F28</f>
        <v>1050000</v>
      </c>
      <c r="G14" s="23" t="n">
        <f aca="false">Salary!G28</f>
        <v>1050000</v>
      </c>
      <c r="H14" s="23" t="n">
        <f aca="false">Salary!H28</f>
        <v>1050000</v>
      </c>
      <c r="I14" s="23" t="n">
        <f aca="false">Salary!I28</f>
        <v>1050000</v>
      </c>
      <c r="J14" s="23" t="n">
        <f aca="false">Salary!J28</f>
        <v>1050000</v>
      </c>
      <c r="K14" s="23" t="n">
        <f aca="false">Salary!K28</f>
        <v>1050000</v>
      </c>
      <c r="L14" s="23" t="n">
        <f aca="false">Salary!L28</f>
        <v>1050000</v>
      </c>
      <c r="M14" s="23" t="n">
        <f aca="false">Salary!M28</f>
        <v>1050000</v>
      </c>
      <c r="N14" s="23" t="n">
        <f aca="false">Salary!N28</f>
        <v>1980000</v>
      </c>
      <c r="O14" s="23" t="n">
        <f aca="false">Salary!O28</f>
        <v>1980000</v>
      </c>
      <c r="P14" s="23" t="n">
        <f aca="false">Salary!P28</f>
        <v>1980000</v>
      </c>
      <c r="Q14" s="23" t="n">
        <f aca="false">Salary!Q28</f>
        <v>1980000</v>
      </c>
      <c r="R14" s="23" t="n">
        <f aca="false">Salary!R28</f>
        <v>1980000</v>
      </c>
      <c r="S14" s="23" t="n">
        <f aca="false">Salary!S28</f>
        <v>1980000</v>
      </c>
      <c r="T14" s="23" t="n">
        <f aca="false">Salary!T28</f>
        <v>1980000</v>
      </c>
      <c r="U14" s="23" t="n">
        <f aca="false">Salary!U28</f>
        <v>1980000</v>
      </c>
      <c r="V14" s="23" t="n">
        <f aca="false">Salary!V28</f>
        <v>1980000</v>
      </c>
      <c r="W14" s="23" t="n">
        <f aca="false">Salary!W28</f>
        <v>1980000</v>
      </c>
      <c r="X14" s="23" t="n">
        <f aca="false">Salary!X28</f>
        <v>1980000</v>
      </c>
      <c r="Y14" s="23" t="n">
        <f aca="false">Salary!Y28</f>
        <v>1980000</v>
      </c>
      <c r="Z14" s="23" t="n">
        <f aca="false">Salary!Z28</f>
        <v>3085500</v>
      </c>
      <c r="AA14" s="23" t="n">
        <f aca="false">Salary!AA28</f>
        <v>3085500</v>
      </c>
      <c r="AB14" s="23" t="n">
        <f aca="false">Salary!AB28</f>
        <v>3085500</v>
      </c>
      <c r="AC14" s="23" t="n">
        <f aca="false">Salary!AC28</f>
        <v>3085500</v>
      </c>
      <c r="AD14" s="23" t="n">
        <f aca="false">Salary!AD28</f>
        <v>3085500</v>
      </c>
      <c r="AE14" s="23" t="n">
        <f aca="false">Salary!AE28</f>
        <v>3085500</v>
      </c>
      <c r="AF14" s="23" t="n">
        <f aca="false">Salary!AF28</f>
        <v>3085500</v>
      </c>
      <c r="AG14" s="23" t="n">
        <f aca="false">Salary!AG28</f>
        <v>3085500</v>
      </c>
      <c r="AH14" s="23" t="n">
        <f aca="false">Salary!AH28</f>
        <v>3085500</v>
      </c>
      <c r="AI14" s="23" t="n">
        <f aca="false">Salary!AI28</f>
        <v>3085500</v>
      </c>
      <c r="AJ14" s="23" t="n">
        <f aca="false">Salary!AJ28</f>
        <v>3085500</v>
      </c>
      <c r="AK14" s="23" t="n">
        <f aca="false">Salary!AK28</f>
        <v>3085500</v>
      </c>
    </row>
    <row r="15" customFormat="false" ht="15" hidden="false" customHeight="true" outlineLevel="0" collapsed="false">
      <c r="A15" s="10" t="s">
        <v>99</v>
      </c>
      <c r="B15" s="23" t="n">
        <f aca="false">Assumptions!B41</f>
        <v>300000</v>
      </c>
      <c r="C15" s="23" t="n">
        <f aca="false">Assumptions!C41</f>
        <v>300000</v>
      </c>
      <c r="D15" s="23" t="n">
        <f aca="false">Assumptions!D41</f>
        <v>300000</v>
      </c>
      <c r="E15" s="23" t="n">
        <f aca="false">Assumptions!E41</f>
        <v>300000</v>
      </c>
      <c r="F15" s="23" t="n">
        <f aca="false">Assumptions!F41</f>
        <v>300000</v>
      </c>
      <c r="G15" s="23" t="n">
        <f aca="false">Assumptions!G41</f>
        <v>300000</v>
      </c>
      <c r="H15" s="23" t="n">
        <f aca="false">Assumptions!H41</f>
        <v>300000</v>
      </c>
      <c r="I15" s="23" t="n">
        <f aca="false">Assumptions!I41</f>
        <v>300000</v>
      </c>
      <c r="J15" s="23" t="n">
        <f aca="false">Assumptions!J41</f>
        <v>300000</v>
      </c>
      <c r="K15" s="23" t="n">
        <f aca="false">Assumptions!K41</f>
        <v>300000</v>
      </c>
      <c r="L15" s="23" t="n">
        <f aca="false">Assumptions!L41</f>
        <v>300000</v>
      </c>
      <c r="M15" s="23" t="n">
        <f aca="false">Assumptions!M41</f>
        <v>300000</v>
      </c>
      <c r="N15" s="23" t="n">
        <f aca="false">Assumptions!N41</f>
        <v>330000</v>
      </c>
      <c r="O15" s="23" t="n">
        <f aca="false">Assumptions!O41</f>
        <v>330000</v>
      </c>
      <c r="P15" s="23" t="n">
        <f aca="false">Assumptions!P41</f>
        <v>330000</v>
      </c>
      <c r="Q15" s="23" t="n">
        <f aca="false">Assumptions!Q41</f>
        <v>330000</v>
      </c>
      <c r="R15" s="23" t="n">
        <f aca="false">Assumptions!R41</f>
        <v>330000</v>
      </c>
      <c r="S15" s="23" t="n">
        <f aca="false">Assumptions!S41</f>
        <v>330000</v>
      </c>
      <c r="T15" s="23" t="n">
        <f aca="false">Assumptions!T41</f>
        <v>330000</v>
      </c>
      <c r="U15" s="23" t="n">
        <f aca="false">Assumptions!U41</f>
        <v>330000</v>
      </c>
      <c r="V15" s="23" t="n">
        <f aca="false">Assumptions!V41</f>
        <v>330000</v>
      </c>
      <c r="W15" s="23" t="n">
        <f aca="false">Assumptions!W41</f>
        <v>330000</v>
      </c>
      <c r="X15" s="23" t="n">
        <f aca="false">Assumptions!X41</f>
        <v>330000</v>
      </c>
      <c r="Y15" s="23" t="n">
        <f aca="false">Assumptions!Y41</f>
        <v>330000</v>
      </c>
      <c r="Z15" s="23" t="n">
        <f aca="false">Assumptions!Z41</f>
        <v>363000</v>
      </c>
      <c r="AA15" s="23" t="n">
        <f aca="false">Assumptions!AA41</f>
        <v>363000</v>
      </c>
      <c r="AB15" s="23" t="n">
        <f aca="false">Assumptions!AB41</f>
        <v>363000</v>
      </c>
      <c r="AC15" s="23" t="n">
        <f aca="false">Assumptions!AC41</f>
        <v>363000</v>
      </c>
      <c r="AD15" s="23" t="n">
        <f aca="false">Assumptions!AD41</f>
        <v>363000</v>
      </c>
      <c r="AE15" s="23" t="n">
        <f aca="false">Assumptions!AE41</f>
        <v>363000</v>
      </c>
      <c r="AF15" s="23" t="n">
        <f aca="false">Assumptions!AF41</f>
        <v>363000</v>
      </c>
      <c r="AG15" s="23" t="n">
        <f aca="false">Assumptions!AG41</f>
        <v>363000</v>
      </c>
      <c r="AH15" s="23" t="n">
        <f aca="false">Assumptions!AH41</f>
        <v>363000</v>
      </c>
      <c r="AI15" s="23" t="n">
        <f aca="false">Assumptions!AI41</f>
        <v>363000</v>
      </c>
      <c r="AJ15" s="23" t="n">
        <f aca="false">Assumptions!AJ41</f>
        <v>363000</v>
      </c>
      <c r="AK15" s="23" t="n">
        <f aca="false">Assumptions!AK41</f>
        <v>363000</v>
      </c>
    </row>
    <row r="16" customFormat="false" ht="15" hidden="false" customHeight="true" outlineLevel="0" collapsed="false">
      <c r="A16" s="10" t="s">
        <v>100</v>
      </c>
      <c r="B16" s="23" t="n">
        <f aca="false">Assumptions!B29</f>
        <v>13333.3333333333</v>
      </c>
      <c r="C16" s="23" t="n">
        <f aca="false">Assumptions!C29</f>
        <v>13333.3333333333</v>
      </c>
      <c r="D16" s="23" t="n">
        <f aca="false">Assumptions!D29</f>
        <v>13333.3333333333</v>
      </c>
      <c r="E16" s="23" t="n">
        <f aca="false">Assumptions!E29</f>
        <v>26666.6666666667</v>
      </c>
      <c r="F16" s="23" t="n">
        <f aca="false">Assumptions!F29</f>
        <v>26666.6666666667</v>
      </c>
      <c r="G16" s="23" t="n">
        <f aca="false">Assumptions!G29</f>
        <v>26666.6666666667</v>
      </c>
      <c r="H16" s="23" t="n">
        <f aca="false">Assumptions!H29</f>
        <v>26666.6666666667</v>
      </c>
      <c r="I16" s="23" t="n">
        <f aca="false">Assumptions!I29</f>
        <v>26666.6666666667</v>
      </c>
      <c r="J16" s="23" t="n">
        <f aca="false">Assumptions!J29</f>
        <v>26666.6666666667</v>
      </c>
      <c r="K16" s="23" t="n">
        <f aca="false">Assumptions!K29</f>
        <v>40000</v>
      </c>
      <c r="L16" s="23" t="n">
        <f aca="false">Assumptions!L29</f>
        <v>40000</v>
      </c>
      <c r="M16" s="23" t="n">
        <f aca="false">Assumptions!M29</f>
        <v>40000</v>
      </c>
      <c r="N16" s="23" t="n">
        <f aca="false">Assumptions!N29</f>
        <v>58666.6666666667</v>
      </c>
      <c r="O16" s="23" t="n">
        <f aca="false">Assumptions!O29</f>
        <v>58666.6666666667</v>
      </c>
      <c r="P16" s="23" t="n">
        <f aca="false">Assumptions!P29</f>
        <v>58666.6666666667</v>
      </c>
      <c r="Q16" s="23" t="n">
        <f aca="false">Assumptions!Q29</f>
        <v>73333.3333333333</v>
      </c>
      <c r="R16" s="23" t="n">
        <f aca="false">Assumptions!R29</f>
        <v>73333.3333333333</v>
      </c>
      <c r="S16" s="23" t="n">
        <f aca="false">Assumptions!S29</f>
        <v>73333.3333333333</v>
      </c>
      <c r="T16" s="23" t="n">
        <f aca="false">Assumptions!T29</f>
        <v>88000</v>
      </c>
      <c r="U16" s="23" t="n">
        <f aca="false">Assumptions!U29</f>
        <v>88000</v>
      </c>
      <c r="V16" s="23" t="n">
        <f aca="false">Assumptions!V29</f>
        <v>88000</v>
      </c>
      <c r="W16" s="23" t="n">
        <f aca="false">Assumptions!W29</f>
        <v>117333.333333333</v>
      </c>
      <c r="X16" s="23" t="n">
        <f aca="false">Assumptions!X29</f>
        <v>117333.333333333</v>
      </c>
      <c r="Y16" s="23" t="n">
        <f aca="false">Assumptions!Y29</f>
        <v>117333.333333333</v>
      </c>
      <c r="Z16" s="23" t="n">
        <f aca="false">Assumptions!Z29</f>
        <v>161333.333333333</v>
      </c>
      <c r="AA16" s="23" t="n">
        <f aca="false">Assumptions!AA29</f>
        <v>161333.333333333</v>
      </c>
      <c r="AB16" s="23" t="n">
        <f aca="false">Assumptions!AB29</f>
        <v>161333.333333333</v>
      </c>
      <c r="AC16" s="23" t="n">
        <f aca="false">Assumptions!AC29</f>
        <v>193600</v>
      </c>
      <c r="AD16" s="23" t="n">
        <f aca="false">Assumptions!AD29</f>
        <v>193600</v>
      </c>
      <c r="AE16" s="23" t="n">
        <f aca="false">Assumptions!AE29</f>
        <v>193600</v>
      </c>
      <c r="AF16" s="23" t="n">
        <f aca="false">Assumptions!AF29</f>
        <v>242000</v>
      </c>
      <c r="AG16" s="23" t="n">
        <f aca="false">Assumptions!AG29</f>
        <v>242000</v>
      </c>
      <c r="AH16" s="23" t="n">
        <f aca="false">Assumptions!AH29</f>
        <v>242000</v>
      </c>
      <c r="AI16" s="23" t="n">
        <f aca="false">Assumptions!AI29</f>
        <v>290400</v>
      </c>
      <c r="AJ16" s="23" t="n">
        <f aca="false">Assumptions!AJ29</f>
        <v>290400</v>
      </c>
      <c r="AK16" s="23" t="n">
        <f aca="false">Assumptions!AK29</f>
        <v>290400</v>
      </c>
    </row>
    <row r="17" customFormat="false" ht="15" hidden="false" customHeight="true" outlineLevel="0" collapsed="false">
      <c r="A17" s="10" t="s">
        <v>101</v>
      </c>
      <c r="B17" s="23" t="n">
        <f aca="false">Depreciation!B22</f>
        <v>77777.7777777778</v>
      </c>
      <c r="C17" s="23" t="n">
        <f aca="false">Depreciation!C22</f>
        <v>77777.7777777778</v>
      </c>
      <c r="D17" s="23" t="n">
        <f aca="false">Depreciation!D22</f>
        <v>77777.7777777778</v>
      </c>
      <c r="E17" s="23" t="n">
        <f aca="false">Depreciation!E22</f>
        <v>77777.7777777778</v>
      </c>
      <c r="F17" s="23" t="n">
        <f aca="false">Depreciation!F22</f>
        <v>77777.7777777778</v>
      </c>
      <c r="G17" s="23" t="n">
        <f aca="false">Depreciation!G22</f>
        <v>77777.7777777778</v>
      </c>
      <c r="H17" s="23" t="n">
        <f aca="false">Depreciation!H22</f>
        <v>77777.7777777778</v>
      </c>
      <c r="I17" s="23" t="n">
        <f aca="false">Depreciation!I22</f>
        <v>77777.7777777778</v>
      </c>
      <c r="J17" s="23" t="n">
        <f aca="false">Depreciation!J22</f>
        <v>77777.7777777778</v>
      </c>
      <c r="K17" s="23" t="n">
        <f aca="false">Depreciation!K22</f>
        <v>77777.7777777778</v>
      </c>
      <c r="L17" s="23" t="n">
        <f aca="false">Depreciation!L22</f>
        <v>77777.7777777778</v>
      </c>
      <c r="M17" s="23" t="n">
        <f aca="false">Depreciation!M22</f>
        <v>77777.7777777778</v>
      </c>
      <c r="N17" s="23" t="n">
        <f aca="false">Depreciation!N22</f>
        <v>98611.1111111111</v>
      </c>
      <c r="O17" s="23" t="n">
        <f aca="false">Depreciation!O22</f>
        <v>98611.1111111111</v>
      </c>
      <c r="P17" s="23" t="n">
        <f aca="false">Depreciation!P22</f>
        <v>98611.1111111111</v>
      </c>
      <c r="Q17" s="23" t="n">
        <f aca="false">Depreciation!Q22</f>
        <v>98611.1111111111</v>
      </c>
      <c r="R17" s="23" t="n">
        <f aca="false">Depreciation!R22</f>
        <v>98611.1111111111</v>
      </c>
      <c r="S17" s="23" t="n">
        <f aca="false">Depreciation!S22</f>
        <v>98611.1111111111</v>
      </c>
      <c r="T17" s="23" t="n">
        <f aca="false">Depreciation!T22</f>
        <v>98611.1111111111</v>
      </c>
      <c r="U17" s="23" t="n">
        <f aca="false">Depreciation!U22</f>
        <v>98611.1111111111</v>
      </c>
      <c r="V17" s="23" t="n">
        <f aca="false">Depreciation!V22</f>
        <v>98611.1111111111</v>
      </c>
      <c r="W17" s="23" t="n">
        <f aca="false">Depreciation!W22</f>
        <v>98611.1111111111</v>
      </c>
      <c r="X17" s="23" t="n">
        <f aca="false">Depreciation!X22</f>
        <v>98611.1111111111</v>
      </c>
      <c r="Y17" s="23" t="n">
        <f aca="false">Depreciation!Y22</f>
        <v>98611.1111111111</v>
      </c>
      <c r="Z17" s="23" t="n">
        <f aca="false">Depreciation!Z22</f>
        <v>119444.444444444</v>
      </c>
      <c r="AA17" s="23" t="n">
        <f aca="false">Depreciation!AA22</f>
        <v>119444.444444444</v>
      </c>
      <c r="AB17" s="23" t="n">
        <f aca="false">Depreciation!AB22</f>
        <v>119444.444444444</v>
      </c>
      <c r="AC17" s="23" t="n">
        <f aca="false">Depreciation!AC22</f>
        <v>119444.444444444</v>
      </c>
      <c r="AD17" s="23" t="n">
        <f aca="false">Depreciation!AD22</f>
        <v>119444.444444444</v>
      </c>
      <c r="AE17" s="23" t="n">
        <f aca="false">Depreciation!AE22</f>
        <v>119444.444444444</v>
      </c>
      <c r="AF17" s="23" t="n">
        <f aca="false">Depreciation!AF22</f>
        <v>119444.444444444</v>
      </c>
      <c r="AG17" s="23" t="n">
        <f aca="false">Depreciation!AG22</f>
        <v>119444.444444444</v>
      </c>
      <c r="AH17" s="23" t="n">
        <f aca="false">Depreciation!AH22</f>
        <v>119444.444444444</v>
      </c>
      <c r="AI17" s="23" t="n">
        <f aca="false">Depreciation!AI22</f>
        <v>119444.444444444</v>
      </c>
      <c r="AJ17" s="23" t="n">
        <f aca="false">Depreciation!AJ22</f>
        <v>119444.444444444</v>
      </c>
      <c r="AK17" s="23" t="n">
        <f aca="false">Depreciation!AK22</f>
        <v>119444.444444444</v>
      </c>
    </row>
    <row r="18" customFormat="false" ht="15" hidden="false" customHeight="true" outlineLevel="0" collapsed="false">
      <c r="A18" s="14" t="s">
        <v>102</v>
      </c>
      <c r="B18" s="19" t="n">
        <f aca="false">SUM(B13:B17)</f>
        <v>1494444.44444444</v>
      </c>
      <c r="C18" s="19" t="n">
        <f aca="false">SUM(C13:C17)</f>
        <v>1494444.44444444</v>
      </c>
      <c r="D18" s="19" t="n">
        <f aca="false">SUM(D13:D17)</f>
        <v>1494444.44444444</v>
      </c>
      <c r="E18" s="19" t="n">
        <f aca="false">SUM(E13:E17)</f>
        <v>1561111.11111111</v>
      </c>
      <c r="F18" s="19" t="n">
        <f aca="false">SUM(F13:F17)</f>
        <v>1561111.11111111</v>
      </c>
      <c r="G18" s="19" t="n">
        <f aca="false">SUM(G13:G17)</f>
        <v>1561111.11111111</v>
      </c>
      <c r="H18" s="19" t="n">
        <f aca="false">SUM(H13:H17)</f>
        <v>1561111.11111111</v>
      </c>
      <c r="I18" s="19" t="n">
        <f aca="false">SUM(I13:I17)</f>
        <v>1561111.11111111</v>
      </c>
      <c r="J18" s="19" t="n">
        <f aca="false">SUM(J13:J17)</f>
        <v>1561111.11111111</v>
      </c>
      <c r="K18" s="19" t="n">
        <f aca="false">SUM(K13:K17)</f>
        <v>1627777.77777778</v>
      </c>
      <c r="L18" s="19" t="n">
        <f aca="false">SUM(L13:L17)</f>
        <v>1627777.77777778</v>
      </c>
      <c r="M18" s="19" t="n">
        <f aca="false">SUM(M13:M17)</f>
        <v>1627777.77777778</v>
      </c>
      <c r="N18" s="19" t="n">
        <f aca="false">SUM(N13:N17)</f>
        <v>2719944.44444444</v>
      </c>
      <c r="O18" s="19" t="n">
        <f aca="false">SUM(O13:O17)</f>
        <v>2737944.44444444</v>
      </c>
      <c r="P18" s="19" t="n">
        <f aca="false">SUM(P13:P17)</f>
        <v>2755944.44444444</v>
      </c>
      <c r="Q18" s="19" t="n">
        <f aca="false">SUM(Q13:Q17)</f>
        <v>2847277.77777778</v>
      </c>
      <c r="R18" s="19" t="n">
        <f aca="false">SUM(R13:R17)</f>
        <v>2865277.77777778</v>
      </c>
      <c r="S18" s="19" t="n">
        <f aca="false">SUM(S13:S17)</f>
        <v>2883277.77777778</v>
      </c>
      <c r="T18" s="19" t="n">
        <f aca="false">SUM(T13:T17)</f>
        <v>2974611.11111111</v>
      </c>
      <c r="U18" s="19" t="n">
        <f aca="false">SUM(U13:U17)</f>
        <v>2992611.11111111</v>
      </c>
      <c r="V18" s="19" t="n">
        <f aca="false">SUM(V13:V17)</f>
        <v>3010611.11111111</v>
      </c>
      <c r="W18" s="19" t="n">
        <f aca="false">SUM(W13:W17)</f>
        <v>3175277.77777778</v>
      </c>
      <c r="X18" s="19" t="n">
        <f aca="false">SUM(X13:X17)</f>
        <v>3193277.77777778</v>
      </c>
      <c r="Y18" s="19" t="n">
        <f aca="false">SUM(Y13:Y17)</f>
        <v>3211277.77777778</v>
      </c>
      <c r="Z18" s="19" t="n">
        <f aca="false">SUM(Z13:Z17)</f>
        <v>4677011.11111111</v>
      </c>
      <c r="AA18" s="19" t="n">
        <f aca="false">SUM(AA13:AA17)</f>
        <v>4752611.11111111</v>
      </c>
      <c r="AB18" s="19" t="n">
        <f aca="false">SUM(AB13:AB17)</f>
        <v>4828211.11111111</v>
      </c>
      <c r="AC18" s="19" t="n">
        <f aca="false">SUM(AC13:AC17)</f>
        <v>5065144.44444444</v>
      </c>
      <c r="AD18" s="19" t="n">
        <f aca="false">SUM(AD13:AD17)</f>
        <v>5140744.44444444</v>
      </c>
      <c r="AE18" s="19" t="n">
        <f aca="false">SUM(AE13:AE17)</f>
        <v>5216344.44444444</v>
      </c>
      <c r="AF18" s="19" t="n">
        <f aca="false">SUM(AF13:AF17)</f>
        <v>5533944.44444444</v>
      </c>
      <c r="AG18" s="19" t="n">
        <f aca="false">SUM(AG13:AG17)</f>
        <v>5609544.44444444</v>
      </c>
      <c r="AH18" s="19" t="n">
        <f aca="false">SUM(AH13:AH17)</f>
        <v>5685144.44444444</v>
      </c>
      <c r="AI18" s="19" t="n">
        <f aca="false">SUM(AI13:AI17)</f>
        <v>6002744.44444444</v>
      </c>
      <c r="AJ18" s="19" t="n">
        <f aca="false">SUM(AJ13:AJ17)</f>
        <v>6078344.44444444</v>
      </c>
      <c r="AK18" s="19" t="n">
        <f aca="false">SUM(AK13:AK17)</f>
        <v>6153944.44444444</v>
      </c>
    </row>
    <row r="20" customFormat="false" ht="15" hidden="false" customHeight="true" outlineLevel="0" collapsed="false">
      <c r="A20" s="14" t="s">
        <v>103</v>
      </c>
      <c r="B20" s="24" t="n">
        <f aca="false">B10-B18</f>
        <v>-877777.777777778</v>
      </c>
      <c r="C20" s="24" t="n">
        <f aca="false">C10-C18</f>
        <v>-877777.777777778</v>
      </c>
      <c r="D20" s="24" t="n">
        <f aca="false">D10-D18</f>
        <v>-877777.777777778</v>
      </c>
      <c r="E20" s="24" t="n">
        <f aca="false">E10-E18</f>
        <v>-327777.777777778</v>
      </c>
      <c r="F20" s="24" t="n">
        <f aca="false">F10-F18</f>
        <v>-327777.777777778</v>
      </c>
      <c r="G20" s="24" t="n">
        <f aca="false">G10-G18</f>
        <v>-327777.777777778</v>
      </c>
      <c r="H20" s="24" t="n">
        <f aca="false">H10-H18</f>
        <v>-327777.777777778</v>
      </c>
      <c r="I20" s="24" t="n">
        <f aca="false">I10-I18</f>
        <v>-327777.777777778</v>
      </c>
      <c r="J20" s="24" t="n">
        <f aca="false">J10-J18</f>
        <v>-327777.777777778</v>
      </c>
      <c r="K20" s="24" t="n">
        <f aca="false">K10-K18</f>
        <v>222222.222222222</v>
      </c>
      <c r="L20" s="24" t="n">
        <f aca="false">L10-L18</f>
        <v>222222.222222222</v>
      </c>
      <c r="M20" s="24" t="n">
        <f aca="false">M10-M18</f>
        <v>222222.222222222</v>
      </c>
      <c r="N20" s="24" t="n">
        <f aca="false">N10-N18</f>
        <v>218388.888888889</v>
      </c>
      <c r="O20" s="24" t="n">
        <f aca="false">O10-O18</f>
        <v>415388.888888889</v>
      </c>
      <c r="P20" s="24" t="n">
        <f aca="false">P10-P18</f>
        <v>612388.888888889</v>
      </c>
      <c r="Q20" s="24" t="n">
        <f aca="false">Q10-Q18</f>
        <v>1416888.88888889</v>
      </c>
      <c r="R20" s="24" t="n">
        <f aca="false">R10-R18</f>
        <v>1613888.88888889</v>
      </c>
      <c r="S20" s="24" t="n">
        <f aca="false">S10-S18</f>
        <v>1810888.88888889</v>
      </c>
      <c r="T20" s="24" t="n">
        <f aca="false">T10-T18</f>
        <v>2615388.88888889</v>
      </c>
      <c r="U20" s="24" t="n">
        <f aca="false">U10-U18</f>
        <v>2812388.88888889</v>
      </c>
      <c r="V20" s="24" t="n">
        <f aca="false">V10-V18</f>
        <v>3009388.88888889</v>
      </c>
      <c r="W20" s="24" t="n">
        <f aca="false">W10-W18</f>
        <v>4421388.88888889</v>
      </c>
      <c r="X20" s="24" t="n">
        <f aca="false">X10-X18</f>
        <v>4618388.88888889</v>
      </c>
      <c r="Y20" s="24" t="n">
        <f aca="false">Y10-Y18</f>
        <v>4815388.88888889</v>
      </c>
      <c r="Z20" s="24" t="n">
        <f aca="false">Z10-Z18</f>
        <v>6450405.55555556</v>
      </c>
      <c r="AA20" s="24" t="n">
        <f aca="false">AA10-AA18</f>
        <v>7277805.55555556</v>
      </c>
      <c r="AB20" s="24" t="n">
        <f aca="false">AB10-AB18</f>
        <v>8105205.55555556</v>
      </c>
      <c r="AC20" s="24" t="n">
        <f aca="false">AC10-AC18</f>
        <v>10274355.5555556</v>
      </c>
      <c r="AD20" s="24" t="n">
        <f aca="false">AD10-AD18</f>
        <v>11101755.5555556</v>
      </c>
      <c r="AE20" s="24" t="n">
        <f aca="false">AE10-AE18</f>
        <v>11929155.5555556</v>
      </c>
      <c r="AF20" s="24" t="n">
        <f aca="false">AF10-AF18</f>
        <v>14769180.5555556</v>
      </c>
      <c r="AG20" s="24" t="n">
        <f aca="false">AG10-AG18</f>
        <v>15596580.5555556</v>
      </c>
      <c r="AH20" s="24" t="n">
        <f aca="false">AH10-AH18</f>
        <v>16423980.5555556</v>
      </c>
      <c r="AI20" s="24" t="n">
        <f aca="false">AI10-AI18</f>
        <v>19264005.5555556</v>
      </c>
      <c r="AJ20" s="24" t="n">
        <f aca="false">AJ10-AJ18</f>
        <v>20091405.5555556</v>
      </c>
      <c r="AK20" s="24" t="n">
        <f aca="false">AK10-AK18</f>
        <v>20918805.5555556</v>
      </c>
    </row>
    <row r="21" customFormat="false" ht="15" hidden="false" customHeight="true" outlineLevel="0" collapsed="false">
      <c r="A21" s="10" t="s">
        <v>104</v>
      </c>
      <c r="B21" s="18" t="n">
        <f aca="false">IF(B20&gt;0,B20*Assumptions!B44,0)</f>
        <v>0</v>
      </c>
      <c r="C21" s="18" t="n">
        <f aca="false">IF(C20&gt;0,C20*Assumptions!C44,0)</f>
        <v>0</v>
      </c>
      <c r="D21" s="18" t="n">
        <f aca="false">IF(D20&gt;0,D20*Assumptions!D44,0)</f>
        <v>0</v>
      </c>
      <c r="E21" s="18" t="n">
        <f aca="false">IF(E20&gt;0,E20*Assumptions!E44,0)</f>
        <v>0</v>
      </c>
      <c r="F21" s="18" t="n">
        <f aca="false">IF(F20&gt;0,F20*Assumptions!F44,0)</f>
        <v>0</v>
      </c>
      <c r="G21" s="18" t="n">
        <f aca="false">IF(G20&gt;0,G20*Assumptions!G44,0)</f>
        <v>0</v>
      </c>
      <c r="H21" s="18" t="n">
        <f aca="false">IF(H20&gt;0,H20*Assumptions!H44,0)</f>
        <v>0</v>
      </c>
      <c r="I21" s="18" t="n">
        <f aca="false">IF(I20&gt;0,I20*Assumptions!I44,0)</f>
        <v>0</v>
      </c>
      <c r="J21" s="18" t="n">
        <f aca="false">IF(J20&gt;0,J20*Assumptions!J44,0)</f>
        <v>0</v>
      </c>
      <c r="K21" s="18" t="n">
        <f aca="false">IF(K20&gt;0,K20*Assumptions!K44,0)</f>
        <v>64444.4444444444</v>
      </c>
      <c r="L21" s="18" t="n">
        <f aca="false">IF(L20&gt;0,L20*Assumptions!L44,0)</f>
        <v>64444.4444444444</v>
      </c>
      <c r="M21" s="18" t="n">
        <f aca="false">IF(M20&gt;0,M20*Assumptions!M44,0)</f>
        <v>64444.4444444444</v>
      </c>
      <c r="N21" s="18" t="n">
        <f aca="false">IF(N20&gt;0,N20*Assumptions!N44,0)</f>
        <v>63332.7777777778</v>
      </c>
      <c r="O21" s="18" t="n">
        <f aca="false">IF(O20&gt;0,O20*Assumptions!O44,0)</f>
        <v>120462.777777778</v>
      </c>
      <c r="P21" s="18" t="n">
        <f aca="false">IF(P20&gt;0,P20*Assumptions!P44,0)</f>
        <v>177592.777777778</v>
      </c>
      <c r="Q21" s="18" t="n">
        <f aca="false">IF(Q20&gt;0,Q20*Assumptions!Q44,0)</f>
        <v>410897.777777778</v>
      </c>
      <c r="R21" s="18" t="n">
        <f aca="false">IF(R20&gt;0,R20*Assumptions!R44,0)</f>
        <v>468027.777777778</v>
      </c>
      <c r="S21" s="18" t="n">
        <f aca="false">IF(S20&gt;0,S20*Assumptions!S44,0)</f>
        <v>525157.777777778</v>
      </c>
      <c r="T21" s="18" t="n">
        <f aca="false">IF(T20&gt;0,T20*Assumptions!T44,0)</f>
        <v>758462.777777778</v>
      </c>
      <c r="U21" s="18" t="n">
        <f aca="false">IF(U20&gt;0,U20*Assumptions!U44,0)</f>
        <v>815592.777777778</v>
      </c>
      <c r="V21" s="18" t="n">
        <f aca="false">IF(V20&gt;0,V20*Assumptions!V44,0)</f>
        <v>872722.777777778</v>
      </c>
      <c r="W21" s="18" t="n">
        <f aca="false">IF(W20&gt;0,W20*Assumptions!W44,0)</f>
        <v>1282202.77777778</v>
      </c>
      <c r="X21" s="18" t="n">
        <f aca="false">IF(X20&gt;0,X20*Assumptions!X44,0)</f>
        <v>1339332.77777778</v>
      </c>
      <c r="Y21" s="18" t="n">
        <f aca="false">IF(Y20&gt;0,Y20*Assumptions!Y44,0)</f>
        <v>1396462.77777778</v>
      </c>
      <c r="Z21" s="18" t="n">
        <f aca="false">IF(Z20&gt;0,Z20*Assumptions!Z44,0)</f>
        <v>1870617.61111111</v>
      </c>
      <c r="AA21" s="18" t="n">
        <f aca="false">IF(AA20&gt;0,AA20*Assumptions!AA44,0)</f>
        <v>2110563.61111111</v>
      </c>
      <c r="AB21" s="18" t="n">
        <f aca="false">IF(AB20&gt;0,AB20*Assumptions!AB44,0)</f>
        <v>2350509.61111111</v>
      </c>
      <c r="AC21" s="18" t="n">
        <f aca="false">IF(AC20&gt;0,AC20*Assumptions!AC44,0)</f>
        <v>2979563.11111111</v>
      </c>
      <c r="AD21" s="18" t="n">
        <f aca="false">IF(AD20&gt;0,AD20*Assumptions!AD44,0)</f>
        <v>3219509.11111111</v>
      </c>
      <c r="AE21" s="18" t="n">
        <f aca="false">IF(AE20&gt;0,AE20*Assumptions!AE44,0)</f>
        <v>3459455.11111111</v>
      </c>
      <c r="AF21" s="18" t="n">
        <f aca="false">IF(AF20&gt;0,AF20*Assumptions!AF44,0)</f>
        <v>4283062.36111111</v>
      </c>
      <c r="AG21" s="18" t="n">
        <f aca="false">IF(AG20&gt;0,AG20*Assumptions!AG44,0)</f>
        <v>4523008.36111111</v>
      </c>
      <c r="AH21" s="18" t="n">
        <f aca="false">IF(AH20&gt;0,AH20*Assumptions!AH44,0)</f>
        <v>4762954.36111111</v>
      </c>
      <c r="AI21" s="18" t="n">
        <f aca="false">IF(AI20&gt;0,AI20*Assumptions!AI44,0)</f>
        <v>5586561.61111111</v>
      </c>
      <c r="AJ21" s="18" t="n">
        <f aca="false">IF(AJ20&gt;0,AJ20*Assumptions!AJ44,0)</f>
        <v>5826507.61111111</v>
      </c>
      <c r="AK21" s="18" t="n">
        <f aca="false">IF(AK20&gt;0,AK20*Assumptions!AK44,0)</f>
        <v>6066453.61111111</v>
      </c>
    </row>
    <row r="22" customFormat="false" ht="15" hidden="false" customHeight="true" outlineLevel="0" collapsed="false">
      <c r="A22" s="25" t="s">
        <v>105</v>
      </c>
      <c r="B22" s="26" t="n">
        <f aca="false">B20-B21</f>
        <v>-877777.777777778</v>
      </c>
      <c r="C22" s="26" t="n">
        <f aca="false">C20-C21</f>
        <v>-877777.777777778</v>
      </c>
      <c r="D22" s="26" t="n">
        <f aca="false">D20-D21</f>
        <v>-877777.777777778</v>
      </c>
      <c r="E22" s="26" t="n">
        <f aca="false">E20-E21</f>
        <v>-327777.777777778</v>
      </c>
      <c r="F22" s="26" t="n">
        <f aca="false">F20-F21</f>
        <v>-327777.777777778</v>
      </c>
      <c r="G22" s="26" t="n">
        <f aca="false">G20-G21</f>
        <v>-327777.777777778</v>
      </c>
      <c r="H22" s="26" t="n">
        <f aca="false">H20-H21</f>
        <v>-327777.777777778</v>
      </c>
      <c r="I22" s="26" t="n">
        <f aca="false">I20-I21</f>
        <v>-327777.777777778</v>
      </c>
      <c r="J22" s="26" t="n">
        <f aca="false">J20-J21</f>
        <v>-327777.777777778</v>
      </c>
      <c r="K22" s="26" t="n">
        <f aca="false">K20-K21</f>
        <v>157777.777777778</v>
      </c>
      <c r="L22" s="26" t="n">
        <f aca="false">L20-L21</f>
        <v>157777.777777778</v>
      </c>
      <c r="M22" s="26" t="n">
        <f aca="false">M20-M21</f>
        <v>157777.777777778</v>
      </c>
      <c r="N22" s="26" t="n">
        <f aca="false">N20-N21</f>
        <v>155056.111111111</v>
      </c>
      <c r="O22" s="26" t="n">
        <f aca="false">O20-O21</f>
        <v>294926.111111111</v>
      </c>
      <c r="P22" s="26" t="n">
        <f aca="false">P20-P21</f>
        <v>434796.111111111</v>
      </c>
      <c r="Q22" s="26" t="n">
        <f aca="false">Q20-Q21</f>
        <v>1005991.11111111</v>
      </c>
      <c r="R22" s="26" t="n">
        <f aca="false">R20-R21</f>
        <v>1145861.11111111</v>
      </c>
      <c r="S22" s="26" t="n">
        <f aca="false">S20-S21</f>
        <v>1285731.11111111</v>
      </c>
      <c r="T22" s="26" t="n">
        <f aca="false">T20-T21</f>
        <v>1856926.11111111</v>
      </c>
      <c r="U22" s="26" t="n">
        <f aca="false">U20-U21</f>
        <v>1996796.11111111</v>
      </c>
      <c r="V22" s="26" t="n">
        <f aca="false">V20-V21</f>
        <v>2136666.11111111</v>
      </c>
      <c r="W22" s="26" t="n">
        <f aca="false">W20-W21</f>
        <v>3139186.11111111</v>
      </c>
      <c r="X22" s="26" t="n">
        <f aca="false">X20-X21</f>
        <v>3279056.11111111</v>
      </c>
      <c r="Y22" s="26" t="n">
        <f aca="false">Y20-Y21</f>
        <v>3418926.11111111</v>
      </c>
      <c r="Z22" s="26" t="n">
        <f aca="false">Z20-Z21</f>
        <v>4579787.94444445</v>
      </c>
      <c r="AA22" s="26" t="n">
        <f aca="false">AA20-AA21</f>
        <v>5167241.94444445</v>
      </c>
      <c r="AB22" s="26" t="n">
        <f aca="false">AB20-AB21</f>
        <v>5754695.94444445</v>
      </c>
      <c r="AC22" s="26" t="n">
        <f aca="false">AC20-AC21</f>
        <v>7294792.44444445</v>
      </c>
      <c r="AD22" s="26" t="n">
        <f aca="false">AD20-AD21</f>
        <v>7882246.44444445</v>
      </c>
      <c r="AE22" s="26" t="n">
        <f aca="false">AE20-AE21</f>
        <v>8469700.44444444</v>
      </c>
      <c r="AF22" s="26" t="n">
        <f aca="false">AF20-AF21</f>
        <v>10486118.1944444</v>
      </c>
      <c r="AG22" s="26" t="n">
        <f aca="false">AG20-AG21</f>
        <v>11073572.1944444</v>
      </c>
      <c r="AH22" s="26" t="n">
        <f aca="false">AH20-AH21</f>
        <v>11661026.1944444</v>
      </c>
      <c r="AI22" s="26" t="n">
        <f aca="false">AI20-AI21</f>
        <v>13677443.9444444</v>
      </c>
      <c r="AJ22" s="26" t="n">
        <f aca="false">AJ20-AJ21</f>
        <v>14264897.9444444</v>
      </c>
      <c r="AK22" s="26" t="n">
        <f aca="false">AK20-AK21</f>
        <v>14852351.9444444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7" min="2" style="1" width="12"/>
  </cols>
  <sheetData>
    <row r="1" customFormat="false" ht="17.25" hidden="false" customHeight="true" outlineLevel="0" collapsed="false">
      <c r="A1" s="12" t="s">
        <v>106</v>
      </c>
    </row>
    <row r="2" customFormat="false" ht="15" hidden="false" customHeight="true" outlineLevel="0" collapsed="false">
      <c r="A2" s="3" t="s">
        <v>107</v>
      </c>
    </row>
    <row r="3" customFormat="false" ht="15" hidden="false" customHeight="true" outlineLevel="0" collapsed="false">
      <c r="A3" s="27" t="s">
        <v>108</v>
      </c>
    </row>
    <row r="5" customFormat="false" ht="15" hidden="false" customHeight="true" outlineLevel="0" collapsed="false">
      <c r="A5" s="14" t="s">
        <v>27</v>
      </c>
      <c r="B5" s="15" t="n">
        <v>1</v>
      </c>
      <c r="C5" s="15" t="n">
        <v>1</v>
      </c>
      <c r="D5" s="15" t="n">
        <v>1</v>
      </c>
      <c r="E5" s="15" t="n">
        <v>1</v>
      </c>
      <c r="F5" s="15" t="n">
        <v>1</v>
      </c>
      <c r="G5" s="15" t="n">
        <v>1</v>
      </c>
      <c r="H5" s="15" t="n">
        <v>1</v>
      </c>
      <c r="I5" s="15" t="n">
        <v>1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2</v>
      </c>
      <c r="O5" s="15" t="n">
        <v>2</v>
      </c>
      <c r="P5" s="15" t="n">
        <v>2</v>
      </c>
      <c r="Q5" s="15" t="n">
        <v>2</v>
      </c>
      <c r="R5" s="15" t="n">
        <v>2</v>
      </c>
      <c r="S5" s="15" t="n">
        <v>2</v>
      </c>
      <c r="T5" s="15" t="n">
        <v>2</v>
      </c>
      <c r="U5" s="15" t="n">
        <v>2</v>
      </c>
      <c r="V5" s="15" t="n">
        <v>2</v>
      </c>
      <c r="W5" s="15" t="n">
        <v>2</v>
      </c>
      <c r="X5" s="15" t="n">
        <v>2</v>
      </c>
      <c r="Y5" s="15" t="n">
        <v>2</v>
      </c>
      <c r="Z5" s="15" t="n">
        <v>3</v>
      </c>
      <c r="AA5" s="15" t="n">
        <v>3</v>
      </c>
      <c r="AB5" s="15" t="n">
        <v>3</v>
      </c>
      <c r="AC5" s="15" t="n">
        <v>3</v>
      </c>
      <c r="AD5" s="15" t="n">
        <v>3</v>
      </c>
      <c r="AE5" s="15" t="n">
        <v>3</v>
      </c>
      <c r="AF5" s="15" t="n">
        <v>3</v>
      </c>
      <c r="AG5" s="15" t="n">
        <v>3</v>
      </c>
      <c r="AH5" s="15" t="n">
        <v>3</v>
      </c>
      <c r="AI5" s="15" t="n">
        <v>3</v>
      </c>
      <c r="AJ5" s="15" t="n">
        <v>3</v>
      </c>
      <c r="AK5" s="15" t="n">
        <v>3</v>
      </c>
    </row>
    <row r="6" customFormat="false" ht="15" hidden="false" customHeight="true" outlineLevel="0" collapsed="false">
      <c r="A6" s="14" t="s">
        <v>28</v>
      </c>
      <c r="B6" s="15" t="n">
        <v>1</v>
      </c>
      <c r="C6" s="15" t="n">
        <v>2</v>
      </c>
      <c r="D6" s="15" t="n">
        <v>3</v>
      </c>
      <c r="E6" s="15" t="n">
        <v>4</v>
      </c>
      <c r="F6" s="15" t="n">
        <v>5</v>
      </c>
      <c r="G6" s="15" t="n">
        <v>6</v>
      </c>
      <c r="H6" s="15" t="n">
        <v>7</v>
      </c>
      <c r="I6" s="15" t="n">
        <v>8</v>
      </c>
      <c r="J6" s="15" t="n">
        <v>9</v>
      </c>
      <c r="K6" s="15" t="n">
        <v>10</v>
      </c>
      <c r="L6" s="15" t="n">
        <v>11</v>
      </c>
      <c r="M6" s="15" t="n">
        <v>12</v>
      </c>
      <c r="N6" s="15" t="n">
        <v>13</v>
      </c>
      <c r="O6" s="15" t="n">
        <v>14</v>
      </c>
      <c r="P6" s="15" t="n">
        <v>15</v>
      </c>
      <c r="Q6" s="15" t="n">
        <v>16</v>
      </c>
      <c r="R6" s="15" t="n">
        <v>17</v>
      </c>
      <c r="S6" s="15" t="n">
        <v>18</v>
      </c>
      <c r="T6" s="15" t="n">
        <v>19</v>
      </c>
      <c r="U6" s="15" t="n">
        <v>20</v>
      </c>
      <c r="V6" s="15" t="n">
        <v>21</v>
      </c>
      <c r="W6" s="15" t="n">
        <v>22</v>
      </c>
      <c r="X6" s="15" t="n">
        <v>23</v>
      </c>
      <c r="Y6" s="15" t="n">
        <v>24</v>
      </c>
      <c r="Z6" s="15" t="n">
        <v>25</v>
      </c>
      <c r="AA6" s="15" t="n">
        <v>26</v>
      </c>
      <c r="AB6" s="15" t="n">
        <v>27</v>
      </c>
      <c r="AC6" s="15" t="n">
        <v>28</v>
      </c>
      <c r="AD6" s="15" t="n">
        <v>29</v>
      </c>
      <c r="AE6" s="15" t="n">
        <v>30</v>
      </c>
      <c r="AF6" s="15" t="n">
        <v>31</v>
      </c>
      <c r="AG6" s="15" t="n">
        <v>32</v>
      </c>
      <c r="AH6" s="15" t="n">
        <v>33</v>
      </c>
      <c r="AI6" s="15" t="n">
        <v>34</v>
      </c>
      <c r="AJ6" s="15" t="n">
        <v>35</v>
      </c>
      <c r="AK6" s="15" t="n">
        <v>36</v>
      </c>
    </row>
    <row r="8" customFormat="false" ht="15" hidden="false" customHeight="true" outlineLevel="0" collapsed="false">
      <c r="A8" s="4" t="s">
        <v>109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customFormat="false" ht="15" hidden="false" customHeight="true" outlineLevel="0" collapsed="false">
      <c r="A9" s="10" t="s">
        <v>110</v>
      </c>
      <c r="B9" s="11" t="n">
        <f aca="false">'Cashflow Statement'!B25</f>
        <v>5566666.66666667</v>
      </c>
      <c r="C9" s="11" t="n">
        <f aca="false">'Cashflow Statement'!C25</f>
        <v>4766666.66666667</v>
      </c>
      <c r="D9" s="11" t="n">
        <f aca="false">'Cashflow Statement'!D25</f>
        <v>3966666.66666667</v>
      </c>
      <c r="E9" s="11" t="n">
        <f aca="false">'Cashflow Statement'!E25</f>
        <v>3083333.33333333</v>
      </c>
      <c r="F9" s="11" t="n">
        <f aca="false">'Cashflow Statement'!F25</f>
        <v>2833333.33333333</v>
      </c>
      <c r="G9" s="11" t="n">
        <f aca="false">'Cashflow Statement'!G25</f>
        <v>2583333.33333333</v>
      </c>
      <c r="H9" s="11" t="n">
        <f aca="false">'Cashflow Statement'!H25</f>
        <v>2333333.33333333</v>
      </c>
      <c r="I9" s="11" t="n">
        <f aca="false">'Cashflow Statement'!I25</f>
        <v>2083333.33333333</v>
      </c>
      <c r="J9" s="11" t="n">
        <f aca="false">'Cashflow Statement'!J25</f>
        <v>1833333.33333333</v>
      </c>
      <c r="K9" s="11" t="n">
        <f aca="false">'Cashflow Statement'!K25</f>
        <v>1435555.55555556</v>
      </c>
      <c r="L9" s="11" t="n">
        <f aca="false">'Cashflow Statement'!L25</f>
        <v>1671111.11111111</v>
      </c>
      <c r="M9" s="11" t="n">
        <f aca="false">'Cashflow Statement'!M25</f>
        <v>1906666.66666667</v>
      </c>
      <c r="N9" s="11" t="n">
        <f aca="false">'Cashflow Statement'!N25</f>
        <v>298667.222222222</v>
      </c>
      <c r="O9" s="11" t="n">
        <f aca="false">'Cashflow Statement'!O25</f>
        <v>473871.111111111</v>
      </c>
      <c r="P9" s="11" t="n">
        <f aca="false">'Cashflow Statement'!P25</f>
        <v>788945</v>
      </c>
      <c r="Q9" s="11" t="n">
        <f aca="false">'Cashflow Statement'!Q25</f>
        <v>976880.555555556</v>
      </c>
      <c r="R9" s="11" t="n">
        <f aca="false">'Cashflow Statement'!R25</f>
        <v>2003019.44444444</v>
      </c>
      <c r="S9" s="11" t="n">
        <f aca="false">'Cashflow Statement'!S25</f>
        <v>3169028.33333333</v>
      </c>
      <c r="T9" s="11" t="n">
        <f aca="false">'Cashflow Statement'!T25</f>
        <v>4207898.88888889</v>
      </c>
      <c r="U9" s="11" t="n">
        <f aca="false">'Cashflow Statement'!U25</f>
        <v>6084972.77777778</v>
      </c>
      <c r="V9" s="11" t="n">
        <f aca="false">'Cashflow Statement'!V25</f>
        <v>8101916.66666667</v>
      </c>
      <c r="W9" s="11" t="n">
        <f aca="false">'Cashflow Statement'!W25</f>
        <v>9724713.88888889</v>
      </c>
      <c r="X9" s="11" t="n">
        <f aca="false">'Cashflow Statement'!X25</f>
        <v>12884047.7777778</v>
      </c>
      <c r="Y9" s="11" t="n">
        <f aca="false">'Cashflow Statement'!Y25</f>
        <v>16183251.6666667</v>
      </c>
      <c r="Z9" s="11" t="n">
        <f aca="false">'Cashflow Statement'!Z25</f>
        <v>16971984.0555556</v>
      </c>
      <c r="AA9" s="11" t="n">
        <f aca="false">'Cashflow Statement'!AA25</f>
        <v>21341670.4444444</v>
      </c>
      <c r="AB9" s="11" t="n">
        <f aca="false">'Cashflow Statement'!AB25</f>
        <v>26298810.8333333</v>
      </c>
      <c r="AC9" s="11" t="n">
        <f aca="false">'Cashflow Statement'!AC25</f>
        <v>31256214.3888889</v>
      </c>
      <c r="AD9" s="11" t="n">
        <f aca="false">'Cashflow Statement'!AD25</f>
        <v>38340905.2777778</v>
      </c>
      <c r="AE9" s="11" t="n">
        <f aca="false">'Cashflow Statement'!AE25</f>
        <v>46013050.1666667</v>
      </c>
      <c r="AF9" s="11" t="n">
        <f aca="false">'Cashflow Statement'!AF25</f>
        <v>53391862.8055556</v>
      </c>
      <c r="AG9" s="11" t="n">
        <f aca="false">'Cashflow Statement'!AG25</f>
        <v>63667879.4444445</v>
      </c>
      <c r="AH9" s="11" t="n">
        <f aca="false">'Cashflow Statement'!AH25</f>
        <v>74531350.0833333</v>
      </c>
      <c r="AI9" s="11" t="n">
        <f aca="false">'Cashflow Statement'!AI25</f>
        <v>85101488.4722222</v>
      </c>
      <c r="AJ9" s="11" t="n">
        <f aca="false">'Cashflow Statement'!AJ25</f>
        <v>98568830.8611111</v>
      </c>
      <c r="AK9" s="11" t="n">
        <f aca="false">'Cashflow Statement'!AK25</f>
        <v>112623627.25</v>
      </c>
    </row>
    <row r="10" customFormat="false" ht="15" hidden="false" customHeight="true" outlineLevel="0" collapsed="false">
      <c r="A10" s="10" t="s">
        <v>111</v>
      </c>
      <c r="B10" s="23" t="n">
        <f aca="false">Assumptions!B24*Assumptions!B47/30</f>
        <v>666666.666666667</v>
      </c>
      <c r="C10" s="23" t="n">
        <f aca="false">Assumptions!C24*Assumptions!C47/30</f>
        <v>666666.666666667</v>
      </c>
      <c r="D10" s="23" t="n">
        <f aca="false">Assumptions!D24*Assumptions!D47/30</f>
        <v>666666.666666667</v>
      </c>
      <c r="E10" s="23" t="n">
        <f aca="false">Assumptions!E24*Assumptions!E47/30</f>
        <v>1333333.33333333</v>
      </c>
      <c r="F10" s="23" t="n">
        <f aca="false">Assumptions!F24*Assumptions!F47/30</f>
        <v>1333333.33333333</v>
      </c>
      <c r="G10" s="23" t="n">
        <f aca="false">Assumptions!G24*Assumptions!G47/30</f>
        <v>1333333.33333333</v>
      </c>
      <c r="H10" s="23" t="n">
        <f aca="false">Assumptions!H24*Assumptions!H47/30</f>
        <v>1333333.33333333</v>
      </c>
      <c r="I10" s="23" t="n">
        <f aca="false">Assumptions!I24*Assumptions!I47/30</f>
        <v>1333333.33333333</v>
      </c>
      <c r="J10" s="23" t="n">
        <f aca="false">Assumptions!J24*Assumptions!J47/30</f>
        <v>1333333.33333333</v>
      </c>
      <c r="K10" s="23" t="n">
        <f aca="false">Assumptions!K24*Assumptions!K47/30</f>
        <v>2000000</v>
      </c>
      <c r="L10" s="23" t="n">
        <f aca="false">Assumptions!L24*Assumptions!L47/30</f>
        <v>2000000</v>
      </c>
      <c r="M10" s="23" t="n">
        <f aca="false">Assumptions!M24*Assumptions!M47/30</f>
        <v>2000000</v>
      </c>
      <c r="N10" s="23" t="n">
        <f aca="false">Assumptions!N24*Assumptions!N47/30</f>
        <v>3158333.33333333</v>
      </c>
      <c r="O10" s="23" t="n">
        <f aca="false">Assumptions!O24*Assumptions!O47/30</f>
        <v>3383333.33333333</v>
      </c>
      <c r="P10" s="23" t="n">
        <f aca="false">Assumptions!P24*Assumptions!P47/30</f>
        <v>3608333.33333333</v>
      </c>
      <c r="Q10" s="23" t="n">
        <f aca="false">Assumptions!Q24*Assumptions!Q47/30</f>
        <v>4566666.66666667</v>
      </c>
      <c r="R10" s="23" t="n">
        <f aca="false">Assumptions!R24*Assumptions!R47/30</f>
        <v>4791666.66666667</v>
      </c>
      <c r="S10" s="23" t="n">
        <f aca="false">Assumptions!S24*Assumptions!S47/30</f>
        <v>5016666.66666667</v>
      </c>
      <c r="T10" s="23" t="n">
        <f aca="false">Assumptions!T24*Assumptions!T47/30</f>
        <v>5975000</v>
      </c>
      <c r="U10" s="23" t="n">
        <f aca="false">Assumptions!U24*Assumptions!U47/30</f>
        <v>6200000</v>
      </c>
      <c r="V10" s="23" t="n">
        <f aca="false">Assumptions!V24*Assumptions!V47/30</f>
        <v>6425000</v>
      </c>
      <c r="W10" s="23" t="n">
        <f aca="false">Assumptions!W24*Assumptions!W47/30</f>
        <v>8116666.66666667</v>
      </c>
      <c r="X10" s="23" t="n">
        <f aca="false">Assumptions!X24*Assumptions!X47/30</f>
        <v>8341666.66666667</v>
      </c>
      <c r="Y10" s="23" t="n">
        <f aca="false">Assumptions!Y24*Assumptions!Y47/30</f>
        <v>8566666.66666667</v>
      </c>
      <c r="Z10" s="23" t="n">
        <f aca="false">Assumptions!Z24*Assumptions!Z47/30</f>
        <v>11846666.6666667</v>
      </c>
      <c r="AA10" s="23" t="n">
        <f aca="false">Assumptions!AA24*Assumptions!AA47/30</f>
        <v>12791666.6666667</v>
      </c>
      <c r="AB10" s="23" t="n">
        <f aca="false">Assumptions!AB24*Assumptions!AB47/30</f>
        <v>13736666.6666667</v>
      </c>
      <c r="AC10" s="23" t="n">
        <f aca="false">Assumptions!AC24*Assumptions!AC47/30</f>
        <v>16295000</v>
      </c>
      <c r="AD10" s="23" t="n">
        <f aca="false">Assumptions!AD24*Assumptions!AD47/30</f>
        <v>17240000</v>
      </c>
      <c r="AE10" s="23" t="n">
        <f aca="false">Assumptions!AE24*Assumptions!AE47/30</f>
        <v>18185000</v>
      </c>
      <c r="AF10" s="23" t="n">
        <f aca="false">Assumptions!AF24*Assumptions!AF47/30</f>
        <v>21550000</v>
      </c>
      <c r="AG10" s="23" t="n">
        <f aca="false">Assumptions!AG24*Assumptions!AG47/30</f>
        <v>22495000</v>
      </c>
      <c r="AH10" s="23" t="n">
        <f aca="false">Assumptions!AH24*Assumptions!AH47/30</f>
        <v>23440000</v>
      </c>
      <c r="AI10" s="23" t="n">
        <f aca="false">Assumptions!AI24*Assumptions!AI47/30</f>
        <v>26805000</v>
      </c>
      <c r="AJ10" s="23" t="n">
        <f aca="false">Assumptions!AJ24*Assumptions!AJ47/30</f>
        <v>27750000</v>
      </c>
      <c r="AK10" s="23" t="n">
        <f aca="false">Assumptions!AK24*Assumptions!AK47/30</f>
        <v>28695000</v>
      </c>
    </row>
    <row r="11" customFormat="false" ht="15" hidden="false" customHeight="true" outlineLevel="0" collapsed="false">
      <c r="A11" s="14" t="s">
        <v>112</v>
      </c>
      <c r="B11" s="19" t="n">
        <f aca="false">B9+B10</f>
        <v>6233333.33333333</v>
      </c>
      <c r="C11" s="19" t="n">
        <f aca="false">C9+C10</f>
        <v>5433333.33333333</v>
      </c>
      <c r="D11" s="19" t="n">
        <f aca="false">D9+D10</f>
        <v>4633333.33333333</v>
      </c>
      <c r="E11" s="19" t="n">
        <f aca="false">E9+E10</f>
        <v>4416666.66666667</v>
      </c>
      <c r="F11" s="19" t="n">
        <f aca="false">F9+F10</f>
        <v>4166666.66666667</v>
      </c>
      <c r="G11" s="19" t="n">
        <f aca="false">G9+G10</f>
        <v>3916666.66666667</v>
      </c>
      <c r="H11" s="19" t="n">
        <f aca="false">H9+H10</f>
        <v>3666666.66666667</v>
      </c>
      <c r="I11" s="19" t="n">
        <f aca="false">I9+I10</f>
        <v>3416666.66666667</v>
      </c>
      <c r="J11" s="19" t="n">
        <f aca="false">J9+J10</f>
        <v>3166666.66666667</v>
      </c>
      <c r="K11" s="19" t="n">
        <f aca="false">K9+K10</f>
        <v>3435555.55555556</v>
      </c>
      <c r="L11" s="19" t="n">
        <f aca="false">L9+L10</f>
        <v>3671111.11111111</v>
      </c>
      <c r="M11" s="19" t="n">
        <f aca="false">M9+M10</f>
        <v>3906666.66666667</v>
      </c>
      <c r="N11" s="19" t="n">
        <f aca="false">N9+N10</f>
        <v>3457000.55555556</v>
      </c>
      <c r="O11" s="19" t="n">
        <f aca="false">O9+O10</f>
        <v>3857204.44444444</v>
      </c>
      <c r="P11" s="19" t="n">
        <f aca="false">P9+P10</f>
        <v>4397278.33333333</v>
      </c>
      <c r="Q11" s="19" t="n">
        <f aca="false">Q9+Q10</f>
        <v>5543547.22222222</v>
      </c>
      <c r="R11" s="19" t="n">
        <f aca="false">R9+R10</f>
        <v>6794686.11111111</v>
      </c>
      <c r="S11" s="19" t="n">
        <f aca="false">S9+S10</f>
        <v>8185695</v>
      </c>
      <c r="T11" s="19" t="n">
        <f aca="false">T9+T10</f>
        <v>10182898.8888889</v>
      </c>
      <c r="U11" s="19" t="n">
        <f aca="false">U9+U10</f>
        <v>12284972.7777778</v>
      </c>
      <c r="V11" s="19" t="n">
        <f aca="false">V9+V10</f>
        <v>14526916.6666667</v>
      </c>
      <c r="W11" s="19" t="n">
        <f aca="false">W9+W10</f>
        <v>17841380.5555556</v>
      </c>
      <c r="X11" s="19" t="n">
        <f aca="false">X9+X10</f>
        <v>21225714.4444444</v>
      </c>
      <c r="Y11" s="19" t="n">
        <f aca="false">Y9+Y10</f>
        <v>24749918.3333333</v>
      </c>
      <c r="Z11" s="19" t="n">
        <f aca="false">Z9+Z10</f>
        <v>28818650.7222222</v>
      </c>
      <c r="AA11" s="19" t="n">
        <f aca="false">AA9+AA10</f>
        <v>34133337.1111111</v>
      </c>
      <c r="AB11" s="19" t="n">
        <f aca="false">AB9+AB10</f>
        <v>40035477.5</v>
      </c>
      <c r="AC11" s="19" t="n">
        <f aca="false">AC9+AC10</f>
        <v>47551214.3888889</v>
      </c>
      <c r="AD11" s="19" t="n">
        <f aca="false">AD9+AD10</f>
        <v>55580905.2777778</v>
      </c>
      <c r="AE11" s="19" t="n">
        <f aca="false">AE9+AE10</f>
        <v>64198050.1666667</v>
      </c>
      <c r="AF11" s="19" t="n">
        <f aca="false">AF9+AF10</f>
        <v>74941862.8055556</v>
      </c>
      <c r="AG11" s="19" t="n">
        <f aca="false">AG9+AG10</f>
        <v>86162879.4444445</v>
      </c>
      <c r="AH11" s="19" t="n">
        <f aca="false">AH9+AH10</f>
        <v>97971350.0833333</v>
      </c>
      <c r="AI11" s="19" t="n">
        <f aca="false">AI9+AI10</f>
        <v>111906488.472222</v>
      </c>
      <c r="AJ11" s="19" t="n">
        <f aca="false">AJ9+AJ10</f>
        <v>126318830.861111</v>
      </c>
      <c r="AK11" s="19" t="n">
        <f aca="false">AK9+AK10</f>
        <v>141318627.25</v>
      </c>
    </row>
    <row r="12" customFormat="false" ht="15" hidden="false" customHeight="true" outlineLevel="0" collapsed="false">
      <c r="A12" s="10" t="s">
        <v>113</v>
      </c>
      <c r="B12" s="23" t="n">
        <f aca="false">Depreciation!B24</f>
        <v>2922222.22222222</v>
      </c>
      <c r="C12" s="23" t="n">
        <f aca="false">Depreciation!C24</f>
        <v>2844444.44444444</v>
      </c>
      <c r="D12" s="23" t="n">
        <f aca="false">Depreciation!D24</f>
        <v>2766666.66666667</v>
      </c>
      <c r="E12" s="23" t="n">
        <f aca="false">Depreciation!E24</f>
        <v>2688888.88888889</v>
      </c>
      <c r="F12" s="23" t="n">
        <f aca="false">Depreciation!F24</f>
        <v>2611111.11111111</v>
      </c>
      <c r="G12" s="23" t="n">
        <f aca="false">Depreciation!G24</f>
        <v>2533333.33333333</v>
      </c>
      <c r="H12" s="23" t="n">
        <f aca="false">Depreciation!H24</f>
        <v>2455555.55555556</v>
      </c>
      <c r="I12" s="23" t="n">
        <f aca="false">Depreciation!I24</f>
        <v>2377777.77777778</v>
      </c>
      <c r="J12" s="23" t="n">
        <f aca="false">Depreciation!J24</f>
        <v>2300000</v>
      </c>
      <c r="K12" s="23" t="n">
        <f aca="false">Depreciation!K24</f>
        <v>2222222.22222222</v>
      </c>
      <c r="L12" s="23" t="n">
        <f aca="false">Depreciation!L24</f>
        <v>2144444.44444444</v>
      </c>
      <c r="M12" s="23" t="n">
        <f aca="false">Depreciation!M24</f>
        <v>2066666.66666667</v>
      </c>
      <c r="N12" s="23" t="n">
        <f aca="false">Depreciation!N24</f>
        <v>2718055.55555556</v>
      </c>
      <c r="O12" s="23" t="n">
        <f aca="false">Depreciation!O24</f>
        <v>2619444.44444445</v>
      </c>
      <c r="P12" s="23" t="n">
        <f aca="false">Depreciation!P24</f>
        <v>2520833.33333333</v>
      </c>
      <c r="Q12" s="23" t="n">
        <f aca="false">Depreciation!Q24</f>
        <v>2422222.22222222</v>
      </c>
      <c r="R12" s="23" t="n">
        <f aca="false">Depreciation!R24</f>
        <v>2323611.11111111</v>
      </c>
      <c r="S12" s="23" t="n">
        <f aca="false">Depreciation!S24</f>
        <v>2225000</v>
      </c>
      <c r="T12" s="23" t="n">
        <f aca="false">Depreciation!T24</f>
        <v>2126388.88888889</v>
      </c>
      <c r="U12" s="23" t="n">
        <f aca="false">Depreciation!U24</f>
        <v>2027777.77777778</v>
      </c>
      <c r="V12" s="23" t="n">
        <f aca="false">Depreciation!V24</f>
        <v>1929166.66666667</v>
      </c>
      <c r="W12" s="23" t="n">
        <f aca="false">Depreciation!W24</f>
        <v>1830555.55555556</v>
      </c>
      <c r="X12" s="23" t="n">
        <f aca="false">Depreciation!X24</f>
        <v>1731944.44444445</v>
      </c>
      <c r="Y12" s="23" t="n">
        <f aca="false">Depreciation!Y24</f>
        <v>1633333.33333333</v>
      </c>
      <c r="Z12" s="23" t="n">
        <f aca="false">Depreciation!Z24</f>
        <v>2263888.88888889</v>
      </c>
      <c r="AA12" s="23" t="n">
        <f aca="false">Depreciation!AA24</f>
        <v>2144444.44444445</v>
      </c>
      <c r="AB12" s="23" t="n">
        <f aca="false">Depreciation!AB24</f>
        <v>2025000</v>
      </c>
      <c r="AC12" s="23" t="n">
        <f aca="false">Depreciation!AC24</f>
        <v>1905555.55555556</v>
      </c>
      <c r="AD12" s="23" t="n">
        <f aca="false">Depreciation!AD24</f>
        <v>1786111.11111111</v>
      </c>
      <c r="AE12" s="23" t="n">
        <f aca="false">Depreciation!AE24</f>
        <v>1666666.66666667</v>
      </c>
      <c r="AF12" s="23" t="n">
        <f aca="false">Depreciation!AF24</f>
        <v>1547222.22222222</v>
      </c>
      <c r="AG12" s="23" t="n">
        <f aca="false">Depreciation!AG24</f>
        <v>1427777.77777778</v>
      </c>
      <c r="AH12" s="23" t="n">
        <f aca="false">Depreciation!AH24</f>
        <v>1308333.33333333</v>
      </c>
      <c r="AI12" s="23" t="n">
        <f aca="false">Depreciation!AI24</f>
        <v>1188888.88888889</v>
      </c>
      <c r="AJ12" s="23" t="n">
        <f aca="false">Depreciation!AJ24</f>
        <v>1069444.44444445</v>
      </c>
      <c r="AK12" s="23" t="n">
        <f aca="false">Depreciation!AK24</f>
        <v>950000.000000001</v>
      </c>
    </row>
    <row r="13" customFormat="false" ht="15" hidden="false" customHeight="true" outlineLevel="0" collapsed="false">
      <c r="A13" s="14" t="s">
        <v>114</v>
      </c>
      <c r="B13" s="19" t="n">
        <f aca="false">B12</f>
        <v>2922222.22222222</v>
      </c>
      <c r="C13" s="19" t="n">
        <f aca="false">C12</f>
        <v>2844444.44444444</v>
      </c>
      <c r="D13" s="19" t="n">
        <f aca="false">D12</f>
        <v>2766666.66666667</v>
      </c>
      <c r="E13" s="19" t="n">
        <f aca="false">E12</f>
        <v>2688888.88888889</v>
      </c>
      <c r="F13" s="19" t="n">
        <f aca="false">F12</f>
        <v>2611111.11111111</v>
      </c>
      <c r="G13" s="19" t="n">
        <f aca="false">G12</f>
        <v>2533333.33333333</v>
      </c>
      <c r="H13" s="19" t="n">
        <f aca="false">H12</f>
        <v>2455555.55555556</v>
      </c>
      <c r="I13" s="19" t="n">
        <f aca="false">I12</f>
        <v>2377777.77777778</v>
      </c>
      <c r="J13" s="19" t="n">
        <f aca="false">J12</f>
        <v>2300000</v>
      </c>
      <c r="K13" s="19" t="n">
        <f aca="false">K12</f>
        <v>2222222.22222222</v>
      </c>
      <c r="L13" s="19" t="n">
        <f aca="false">L12</f>
        <v>2144444.44444444</v>
      </c>
      <c r="M13" s="19" t="n">
        <f aca="false">M12</f>
        <v>2066666.66666667</v>
      </c>
      <c r="N13" s="19" t="n">
        <f aca="false">N12</f>
        <v>2718055.55555556</v>
      </c>
      <c r="O13" s="19" t="n">
        <f aca="false">O12</f>
        <v>2619444.44444445</v>
      </c>
      <c r="P13" s="19" t="n">
        <f aca="false">P12</f>
        <v>2520833.33333333</v>
      </c>
      <c r="Q13" s="19" t="n">
        <f aca="false">Q12</f>
        <v>2422222.22222222</v>
      </c>
      <c r="R13" s="19" t="n">
        <f aca="false">R12</f>
        <v>2323611.11111111</v>
      </c>
      <c r="S13" s="19" t="n">
        <f aca="false">S12</f>
        <v>2225000</v>
      </c>
      <c r="T13" s="19" t="n">
        <f aca="false">T12</f>
        <v>2126388.88888889</v>
      </c>
      <c r="U13" s="19" t="n">
        <f aca="false">U12</f>
        <v>2027777.77777778</v>
      </c>
      <c r="V13" s="19" t="n">
        <f aca="false">V12</f>
        <v>1929166.66666667</v>
      </c>
      <c r="W13" s="19" t="n">
        <f aca="false">W12</f>
        <v>1830555.55555556</v>
      </c>
      <c r="X13" s="19" t="n">
        <f aca="false">X12</f>
        <v>1731944.44444445</v>
      </c>
      <c r="Y13" s="19" t="n">
        <f aca="false">Y12</f>
        <v>1633333.33333333</v>
      </c>
      <c r="Z13" s="19" t="n">
        <f aca="false">Z12</f>
        <v>2263888.88888889</v>
      </c>
      <c r="AA13" s="19" t="n">
        <f aca="false">AA12</f>
        <v>2144444.44444445</v>
      </c>
      <c r="AB13" s="19" t="n">
        <f aca="false">AB12</f>
        <v>2025000</v>
      </c>
      <c r="AC13" s="19" t="n">
        <f aca="false">AC12</f>
        <v>1905555.55555556</v>
      </c>
      <c r="AD13" s="19" t="n">
        <f aca="false">AD12</f>
        <v>1786111.11111111</v>
      </c>
      <c r="AE13" s="19" t="n">
        <f aca="false">AE12</f>
        <v>1666666.66666667</v>
      </c>
      <c r="AF13" s="19" t="n">
        <f aca="false">AF12</f>
        <v>1547222.22222222</v>
      </c>
      <c r="AG13" s="19" t="n">
        <f aca="false">AG12</f>
        <v>1427777.77777778</v>
      </c>
      <c r="AH13" s="19" t="n">
        <f aca="false">AH12</f>
        <v>1308333.33333333</v>
      </c>
      <c r="AI13" s="19" t="n">
        <f aca="false">AI12</f>
        <v>1188888.88888889</v>
      </c>
      <c r="AJ13" s="19" t="n">
        <f aca="false">AJ12</f>
        <v>1069444.44444445</v>
      </c>
      <c r="AK13" s="19" t="n">
        <f aca="false">AK12</f>
        <v>950000.000000001</v>
      </c>
    </row>
    <row r="14" customFormat="false" ht="15" hidden="false" customHeight="true" outlineLevel="0" collapsed="false">
      <c r="A14" s="25" t="s">
        <v>115</v>
      </c>
      <c r="B14" s="28" t="n">
        <f aca="false">B11+B13</f>
        <v>9155555.55555556</v>
      </c>
      <c r="C14" s="28" t="n">
        <f aca="false">C11+C13</f>
        <v>8277777.77777778</v>
      </c>
      <c r="D14" s="28" t="n">
        <f aca="false">D11+D13</f>
        <v>7400000</v>
      </c>
      <c r="E14" s="28" t="n">
        <f aca="false">E11+E13</f>
        <v>7105555.55555556</v>
      </c>
      <c r="F14" s="28" t="n">
        <f aca="false">F11+F13</f>
        <v>6777777.77777778</v>
      </c>
      <c r="G14" s="28" t="n">
        <f aca="false">G11+G13</f>
        <v>6450000</v>
      </c>
      <c r="H14" s="28" t="n">
        <f aca="false">H11+H13</f>
        <v>6122222.22222222</v>
      </c>
      <c r="I14" s="28" t="n">
        <f aca="false">I11+I13</f>
        <v>5794444.44444444</v>
      </c>
      <c r="J14" s="28" t="n">
        <f aca="false">J11+J13</f>
        <v>5466666.66666667</v>
      </c>
      <c r="K14" s="28" t="n">
        <f aca="false">K11+K13</f>
        <v>5657777.77777778</v>
      </c>
      <c r="L14" s="28" t="n">
        <f aca="false">L11+L13</f>
        <v>5815555.55555556</v>
      </c>
      <c r="M14" s="28" t="n">
        <f aca="false">M11+M13</f>
        <v>5973333.33333333</v>
      </c>
      <c r="N14" s="28" t="n">
        <f aca="false">N11+N13</f>
        <v>6175056.11111111</v>
      </c>
      <c r="O14" s="28" t="n">
        <f aca="false">O11+O13</f>
        <v>6476648.88888889</v>
      </c>
      <c r="P14" s="28" t="n">
        <f aca="false">P11+P13</f>
        <v>6918111.66666667</v>
      </c>
      <c r="Q14" s="28" t="n">
        <f aca="false">Q11+Q13</f>
        <v>7965769.44444445</v>
      </c>
      <c r="R14" s="28" t="n">
        <f aca="false">R11+R13</f>
        <v>9118297.22222222</v>
      </c>
      <c r="S14" s="28" t="n">
        <f aca="false">S11+S13</f>
        <v>10410695</v>
      </c>
      <c r="T14" s="28" t="n">
        <f aca="false">T11+T13</f>
        <v>12309287.7777778</v>
      </c>
      <c r="U14" s="28" t="n">
        <f aca="false">U11+U13</f>
        <v>14312750.5555556</v>
      </c>
      <c r="V14" s="28" t="n">
        <f aca="false">V11+V13</f>
        <v>16456083.3333333</v>
      </c>
      <c r="W14" s="28" t="n">
        <f aca="false">W11+W13</f>
        <v>19671936.1111111</v>
      </c>
      <c r="X14" s="28" t="n">
        <f aca="false">X11+X13</f>
        <v>22957658.8888889</v>
      </c>
      <c r="Y14" s="28" t="n">
        <f aca="false">Y11+Y13</f>
        <v>26383251.6666667</v>
      </c>
      <c r="Z14" s="28" t="n">
        <f aca="false">Z11+Z13</f>
        <v>31082539.6111111</v>
      </c>
      <c r="AA14" s="28" t="n">
        <f aca="false">AA11+AA13</f>
        <v>36277781.5555556</v>
      </c>
      <c r="AB14" s="28" t="n">
        <f aca="false">AB11+AB13</f>
        <v>42060477.5</v>
      </c>
      <c r="AC14" s="28" t="n">
        <f aca="false">AC11+AC13</f>
        <v>49456769.9444445</v>
      </c>
      <c r="AD14" s="28" t="n">
        <f aca="false">AD11+AD13</f>
        <v>57367016.3888889</v>
      </c>
      <c r="AE14" s="28" t="n">
        <f aca="false">AE11+AE13</f>
        <v>65864716.8333333</v>
      </c>
      <c r="AF14" s="28" t="n">
        <f aca="false">AF11+AF13</f>
        <v>76489085.0277778</v>
      </c>
      <c r="AG14" s="28" t="n">
        <f aca="false">AG11+AG13</f>
        <v>87590657.2222222</v>
      </c>
      <c r="AH14" s="28" t="n">
        <f aca="false">AH11+AH13</f>
        <v>99279683.4166667</v>
      </c>
      <c r="AI14" s="28" t="n">
        <f aca="false">AI11+AI13</f>
        <v>113095377.361111</v>
      </c>
      <c r="AJ14" s="28" t="n">
        <f aca="false">AJ11+AJ13</f>
        <v>127388275.305556</v>
      </c>
      <c r="AK14" s="28" t="n">
        <f aca="false">AK11+AK13</f>
        <v>142268627.25</v>
      </c>
    </row>
    <row r="16" customFormat="false" ht="15" hidden="false" customHeight="true" outlineLevel="0" collapsed="false">
      <c r="A16" s="4" t="s">
        <v>116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customFormat="false" ht="15" hidden="false" customHeight="true" outlineLevel="0" collapsed="false">
      <c r="A17" s="10" t="s">
        <v>117</v>
      </c>
      <c r="B17" s="23" t="n">
        <f aca="false">Assumptions!B36*Assumptions!B48/30</f>
        <v>33333.3333333333</v>
      </c>
      <c r="C17" s="23" t="n">
        <f aca="false">Assumptions!C36*Assumptions!C48/30</f>
        <v>33333.3333333333</v>
      </c>
      <c r="D17" s="23" t="n">
        <f aca="false">Assumptions!D36*Assumptions!D48/30</f>
        <v>33333.3333333333</v>
      </c>
      <c r="E17" s="23" t="n">
        <f aca="false">Assumptions!E36*Assumptions!E48/30</f>
        <v>66666.6666666667</v>
      </c>
      <c r="F17" s="23" t="n">
        <f aca="false">Assumptions!F36*Assumptions!F48/30</f>
        <v>66666.6666666667</v>
      </c>
      <c r="G17" s="23" t="n">
        <f aca="false">Assumptions!G36*Assumptions!G48/30</f>
        <v>66666.6666666667</v>
      </c>
      <c r="H17" s="23" t="n">
        <f aca="false">Assumptions!H36*Assumptions!H48/30</f>
        <v>66666.6666666667</v>
      </c>
      <c r="I17" s="23" t="n">
        <f aca="false">Assumptions!I36*Assumptions!I48/30</f>
        <v>66666.6666666667</v>
      </c>
      <c r="J17" s="23" t="n">
        <f aca="false">Assumptions!J36*Assumptions!J48/30</f>
        <v>66666.6666666667</v>
      </c>
      <c r="K17" s="23" t="n">
        <f aca="false">Assumptions!K36*Assumptions!K48/30</f>
        <v>100000</v>
      </c>
      <c r="L17" s="23" t="n">
        <f aca="false">Assumptions!L36*Assumptions!L48/30</f>
        <v>100000</v>
      </c>
      <c r="M17" s="23" t="n">
        <f aca="false">Assumptions!M36*Assumptions!M48/30</f>
        <v>100000</v>
      </c>
      <c r="N17" s="23" t="n">
        <f aca="false">Assumptions!N36*Assumptions!N48/30</f>
        <v>146666.666666667</v>
      </c>
      <c r="O17" s="23" t="n">
        <f aca="false">Assumptions!O36*Assumptions!O48/30</f>
        <v>153333.333333333</v>
      </c>
      <c r="P17" s="23" t="n">
        <f aca="false">Assumptions!P36*Assumptions!P48/30</f>
        <v>160000</v>
      </c>
      <c r="Q17" s="23" t="n">
        <f aca="false">Assumptions!Q36*Assumptions!Q48/30</f>
        <v>201666.666666667</v>
      </c>
      <c r="R17" s="23" t="n">
        <f aca="false">Assumptions!R36*Assumptions!R48/30</f>
        <v>208333.333333333</v>
      </c>
      <c r="S17" s="23" t="n">
        <f aca="false">Assumptions!S36*Assumptions!S48/30</f>
        <v>215000</v>
      </c>
      <c r="T17" s="23" t="n">
        <f aca="false">Assumptions!T36*Assumptions!T48/30</f>
        <v>256666.666666667</v>
      </c>
      <c r="U17" s="23" t="n">
        <f aca="false">Assumptions!U36*Assumptions!U48/30</f>
        <v>263333.333333333</v>
      </c>
      <c r="V17" s="23" t="n">
        <f aca="false">Assumptions!V36*Assumptions!V48/30</f>
        <v>270000</v>
      </c>
      <c r="W17" s="23" t="n">
        <f aca="false">Assumptions!W36*Assumptions!W48/30</f>
        <v>346666.666666667</v>
      </c>
      <c r="X17" s="23" t="n">
        <f aca="false">Assumptions!X36*Assumptions!X48/30</f>
        <v>353333.333333333</v>
      </c>
      <c r="Y17" s="23" t="n">
        <f aca="false">Assumptions!Y36*Assumptions!Y48/30</f>
        <v>360000</v>
      </c>
      <c r="Z17" s="23" t="n">
        <f aca="false">Assumptions!Z36*Assumptions!Z48/30</f>
        <v>479500</v>
      </c>
      <c r="AA17" s="23" t="n">
        <f aca="false">Assumptions!AA36*Assumptions!AA48/30</f>
        <v>507500</v>
      </c>
      <c r="AB17" s="23" t="n">
        <f aca="false">Assumptions!AB36*Assumptions!AB48/30</f>
        <v>535500</v>
      </c>
      <c r="AC17" s="23" t="n">
        <f aca="false">Assumptions!AC36*Assumptions!AC48/30</f>
        <v>637000</v>
      </c>
      <c r="AD17" s="23" t="n">
        <f aca="false">Assumptions!AD36*Assumptions!AD48/30</f>
        <v>665000</v>
      </c>
      <c r="AE17" s="23" t="n">
        <f aca="false">Assumptions!AE36*Assumptions!AE48/30</f>
        <v>693000</v>
      </c>
      <c r="AF17" s="23" t="n">
        <f aca="false">Assumptions!AF36*Assumptions!AF48/30</f>
        <v>831250</v>
      </c>
      <c r="AG17" s="23" t="n">
        <f aca="false">Assumptions!AG36*Assumptions!AG48/30</f>
        <v>859250</v>
      </c>
      <c r="AH17" s="23" t="n">
        <f aca="false">Assumptions!AH36*Assumptions!AH48/30</f>
        <v>887250</v>
      </c>
      <c r="AI17" s="23" t="n">
        <f aca="false">Assumptions!AI36*Assumptions!AI48/30</f>
        <v>1025500</v>
      </c>
      <c r="AJ17" s="23" t="n">
        <f aca="false">Assumptions!AJ36*Assumptions!AJ48/30</f>
        <v>1053500</v>
      </c>
      <c r="AK17" s="23" t="n">
        <f aca="false">Assumptions!AK36*Assumptions!AK48/30</f>
        <v>1081500</v>
      </c>
    </row>
    <row r="18" customFormat="false" ht="15" hidden="false" customHeight="true" outlineLevel="0" collapsed="false">
      <c r="A18" s="10" t="s">
        <v>118</v>
      </c>
      <c r="B18" s="17" t="n">
        <v>0</v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0</v>
      </c>
      <c r="O18" s="17" t="n">
        <v>0</v>
      </c>
      <c r="P18" s="17" t="n">
        <v>0</v>
      </c>
      <c r="Q18" s="17" t="n">
        <v>0</v>
      </c>
      <c r="R18" s="17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  <c r="AC18" s="17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0</v>
      </c>
      <c r="AK18" s="17" t="n">
        <v>0</v>
      </c>
    </row>
    <row r="19" customFormat="false" ht="15" hidden="false" customHeight="true" outlineLevel="0" collapsed="false">
      <c r="A19" s="14" t="s">
        <v>119</v>
      </c>
      <c r="B19" s="19" t="n">
        <f aca="false">B17+B18</f>
        <v>33333.3333333333</v>
      </c>
      <c r="C19" s="19" t="n">
        <f aca="false">C17+C18</f>
        <v>33333.3333333333</v>
      </c>
      <c r="D19" s="19" t="n">
        <f aca="false">D17+D18</f>
        <v>33333.3333333333</v>
      </c>
      <c r="E19" s="19" t="n">
        <f aca="false">E17+E18</f>
        <v>66666.6666666667</v>
      </c>
      <c r="F19" s="19" t="n">
        <f aca="false">F17+F18</f>
        <v>66666.6666666667</v>
      </c>
      <c r="G19" s="19" t="n">
        <f aca="false">G17+G18</f>
        <v>66666.6666666667</v>
      </c>
      <c r="H19" s="19" t="n">
        <f aca="false">H17+H18</f>
        <v>66666.6666666667</v>
      </c>
      <c r="I19" s="19" t="n">
        <f aca="false">I17+I18</f>
        <v>66666.6666666667</v>
      </c>
      <c r="J19" s="19" t="n">
        <f aca="false">J17+J18</f>
        <v>66666.6666666667</v>
      </c>
      <c r="K19" s="19" t="n">
        <f aca="false">K17+K18</f>
        <v>100000</v>
      </c>
      <c r="L19" s="19" t="n">
        <f aca="false">L17+L18</f>
        <v>100000</v>
      </c>
      <c r="M19" s="19" t="n">
        <f aca="false">M17+M18</f>
        <v>100000</v>
      </c>
      <c r="N19" s="19" t="n">
        <f aca="false">N17+N18</f>
        <v>146666.666666667</v>
      </c>
      <c r="O19" s="19" t="n">
        <f aca="false">O17+O18</f>
        <v>153333.333333333</v>
      </c>
      <c r="P19" s="19" t="n">
        <f aca="false">P17+P18</f>
        <v>160000</v>
      </c>
      <c r="Q19" s="19" t="n">
        <f aca="false">Q17+Q18</f>
        <v>201666.666666667</v>
      </c>
      <c r="R19" s="19" t="n">
        <f aca="false">R17+R18</f>
        <v>208333.333333333</v>
      </c>
      <c r="S19" s="19" t="n">
        <f aca="false">S17+S18</f>
        <v>215000</v>
      </c>
      <c r="T19" s="19" t="n">
        <f aca="false">T17+T18</f>
        <v>256666.666666667</v>
      </c>
      <c r="U19" s="19" t="n">
        <f aca="false">U17+U18</f>
        <v>263333.333333333</v>
      </c>
      <c r="V19" s="19" t="n">
        <f aca="false">V17+V18</f>
        <v>270000</v>
      </c>
      <c r="W19" s="19" t="n">
        <f aca="false">W17+W18</f>
        <v>346666.666666667</v>
      </c>
      <c r="X19" s="19" t="n">
        <f aca="false">X17+X18</f>
        <v>353333.333333333</v>
      </c>
      <c r="Y19" s="19" t="n">
        <f aca="false">Y17+Y18</f>
        <v>360000</v>
      </c>
      <c r="Z19" s="19" t="n">
        <f aca="false">Z17+Z18</f>
        <v>479500</v>
      </c>
      <c r="AA19" s="19" t="n">
        <f aca="false">AA17+AA18</f>
        <v>507500</v>
      </c>
      <c r="AB19" s="19" t="n">
        <f aca="false">AB17+AB18</f>
        <v>535500</v>
      </c>
      <c r="AC19" s="19" t="n">
        <f aca="false">AC17+AC18</f>
        <v>637000</v>
      </c>
      <c r="AD19" s="19" t="n">
        <f aca="false">AD17+AD18</f>
        <v>665000</v>
      </c>
      <c r="AE19" s="19" t="n">
        <f aca="false">AE17+AE18</f>
        <v>693000</v>
      </c>
      <c r="AF19" s="19" t="n">
        <f aca="false">AF17+AF18</f>
        <v>831250</v>
      </c>
      <c r="AG19" s="19" t="n">
        <f aca="false">AG17+AG18</f>
        <v>859250</v>
      </c>
      <c r="AH19" s="19" t="n">
        <f aca="false">AH17+AH18</f>
        <v>887250</v>
      </c>
      <c r="AI19" s="19" t="n">
        <f aca="false">AI17+AI18</f>
        <v>1025500</v>
      </c>
      <c r="AJ19" s="19" t="n">
        <f aca="false">AJ17+AJ18</f>
        <v>1053500</v>
      </c>
      <c r="AK19" s="19" t="n">
        <f aca="false">AK17+AK18</f>
        <v>1081500</v>
      </c>
    </row>
    <row r="21" customFormat="false" ht="15" hidden="false" customHeight="true" outlineLevel="0" collapsed="false">
      <c r="A21" s="4" t="s">
        <v>120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customFormat="false" ht="15" hidden="false" customHeight="true" outlineLevel="0" collapsed="false">
      <c r="A22" s="10" t="s">
        <v>121</v>
      </c>
      <c r="B22" s="16" t="n">
        <v>10000000</v>
      </c>
      <c r="C22" s="16" t="n">
        <v>10000000</v>
      </c>
      <c r="D22" s="16" t="n">
        <v>10000000</v>
      </c>
      <c r="E22" s="16" t="n">
        <v>10000000</v>
      </c>
      <c r="F22" s="16" t="n">
        <v>10000000</v>
      </c>
      <c r="G22" s="16" t="n">
        <v>10000000</v>
      </c>
      <c r="H22" s="16" t="n">
        <v>10000000</v>
      </c>
      <c r="I22" s="16" t="n">
        <v>10000000</v>
      </c>
      <c r="J22" s="16" t="n">
        <v>10000000</v>
      </c>
      <c r="K22" s="16" t="n">
        <v>10000000</v>
      </c>
      <c r="L22" s="16" t="n">
        <v>10000000</v>
      </c>
      <c r="M22" s="16" t="n">
        <v>10000000</v>
      </c>
      <c r="N22" s="16" t="n">
        <v>10000000</v>
      </c>
      <c r="O22" s="16" t="n">
        <v>10000000</v>
      </c>
      <c r="P22" s="16" t="n">
        <v>10000000</v>
      </c>
      <c r="Q22" s="16" t="n">
        <v>10000000</v>
      </c>
      <c r="R22" s="16" t="n">
        <v>10000000</v>
      </c>
      <c r="S22" s="16" t="n">
        <v>10000000</v>
      </c>
      <c r="T22" s="16" t="n">
        <v>10000000</v>
      </c>
      <c r="U22" s="16" t="n">
        <v>10000000</v>
      </c>
      <c r="V22" s="16" t="n">
        <v>10000000</v>
      </c>
      <c r="W22" s="16" t="n">
        <v>10000000</v>
      </c>
      <c r="X22" s="16" t="n">
        <v>10000000</v>
      </c>
      <c r="Y22" s="16" t="n">
        <v>10000000</v>
      </c>
      <c r="Z22" s="16" t="n">
        <v>10000000</v>
      </c>
      <c r="AA22" s="16" t="n">
        <v>10000000</v>
      </c>
      <c r="AB22" s="16" t="n">
        <v>10000000</v>
      </c>
      <c r="AC22" s="16" t="n">
        <v>10000000</v>
      </c>
      <c r="AD22" s="16" t="n">
        <v>10000000</v>
      </c>
      <c r="AE22" s="16" t="n">
        <v>10000000</v>
      </c>
      <c r="AF22" s="16" t="n">
        <v>10000000</v>
      </c>
      <c r="AG22" s="16" t="n">
        <v>10000000</v>
      </c>
      <c r="AH22" s="16" t="n">
        <v>10000000</v>
      </c>
      <c r="AI22" s="16" t="n">
        <v>10000000</v>
      </c>
      <c r="AJ22" s="16" t="n">
        <v>10000000</v>
      </c>
      <c r="AK22" s="16" t="n">
        <v>10000000</v>
      </c>
    </row>
    <row r="23" customFormat="false" ht="15" hidden="false" customHeight="true" outlineLevel="0" collapsed="false">
      <c r="A23" s="10" t="s">
        <v>122</v>
      </c>
      <c r="B23" s="11" t="n">
        <f aca="false">'Income Statement'!B22</f>
        <v>-877777.777777778</v>
      </c>
      <c r="C23" s="11" t="n">
        <f aca="false">B23+'Income Statement'!C22</f>
        <v>-1755555.55555556</v>
      </c>
      <c r="D23" s="11" t="n">
        <f aca="false">C23+'Income Statement'!D22</f>
        <v>-2633333.33333333</v>
      </c>
      <c r="E23" s="11" t="n">
        <f aca="false">D23+'Income Statement'!E22</f>
        <v>-2961111.11111111</v>
      </c>
      <c r="F23" s="11" t="n">
        <f aca="false">E23+'Income Statement'!F22</f>
        <v>-3288888.88888889</v>
      </c>
      <c r="G23" s="11" t="n">
        <f aca="false">F23+'Income Statement'!G22</f>
        <v>-3616666.66666667</v>
      </c>
      <c r="H23" s="11" t="n">
        <f aca="false">G23+'Income Statement'!H22</f>
        <v>-3944444.44444445</v>
      </c>
      <c r="I23" s="11" t="n">
        <f aca="false">H23+'Income Statement'!I22</f>
        <v>-4272222.22222222</v>
      </c>
      <c r="J23" s="11" t="n">
        <f aca="false">I23+'Income Statement'!J22</f>
        <v>-4600000</v>
      </c>
      <c r="K23" s="11" t="n">
        <f aca="false">J23+'Income Statement'!K22</f>
        <v>-4442222.22222222</v>
      </c>
      <c r="L23" s="11" t="n">
        <f aca="false">K23+'Income Statement'!L22</f>
        <v>-4284444.44444445</v>
      </c>
      <c r="M23" s="11" t="n">
        <f aca="false">L23+'Income Statement'!M22</f>
        <v>-4126666.66666667</v>
      </c>
      <c r="N23" s="11" t="n">
        <f aca="false">M23+'Income Statement'!N22</f>
        <v>-3971610.55555556</v>
      </c>
      <c r="O23" s="11" t="n">
        <f aca="false">N23+'Income Statement'!O22</f>
        <v>-3676684.44444445</v>
      </c>
      <c r="P23" s="11" t="n">
        <f aca="false">O23+'Income Statement'!P22</f>
        <v>-3241888.33333333</v>
      </c>
      <c r="Q23" s="11" t="n">
        <f aca="false">P23+'Income Statement'!Q22</f>
        <v>-2235897.22222222</v>
      </c>
      <c r="R23" s="11" t="n">
        <f aca="false">Q23+'Income Statement'!R22</f>
        <v>-1090036.11111111</v>
      </c>
      <c r="S23" s="11" t="n">
        <f aca="false">R23+'Income Statement'!S22</f>
        <v>195694.999999999</v>
      </c>
      <c r="T23" s="11" t="n">
        <f aca="false">S23+'Income Statement'!T22</f>
        <v>2052621.11111111</v>
      </c>
      <c r="U23" s="11" t="n">
        <f aca="false">T23+'Income Statement'!U22</f>
        <v>4049417.22222222</v>
      </c>
      <c r="V23" s="11" t="n">
        <f aca="false">U23+'Income Statement'!V22</f>
        <v>6186083.33333333</v>
      </c>
      <c r="W23" s="11" t="n">
        <f aca="false">V23+'Income Statement'!W22</f>
        <v>9325269.44444444</v>
      </c>
      <c r="X23" s="11" t="n">
        <f aca="false">W23+'Income Statement'!X22</f>
        <v>12604325.5555556</v>
      </c>
      <c r="Y23" s="11" t="n">
        <f aca="false">X23+'Income Statement'!Y22</f>
        <v>16023251.6666667</v>
      </c>
      <c r="Z23" s="11" t="n">
        <f aca="false">Y23+'Income Statement'!Z22</f>
        <v>20603039.6111111</v>
      </c>
      <c r="AA23" s="11" t="n">
        <f aca="false">Z23+'Income Statement'!AA22</f>
        <v>25770281.5555556</v>
      </c>
      <c r="AB23" s="11" t="n">
        <f aca="false">AA23+'Income Statement'!AB22</f>
        <v>31524977.5</v>
      </c>
      <c r="AC23" s="11" t="n">
        <f aca="false">AB23+'Income Statement'!AC22</f>
        <v>38819769.9444445</v>
      </c>
      <c r="AD23" s="11" t="n">
        <f aca="false">AC23+'Income Statement'!AD22</f>
        <v>46702016.3888889</v>
      </c>
      <c r="AE23" s="11" t="n">
        <f aca="false">AD23+'Income Statement'!AE22</f>
        <v>55171716.8333333</v>
      </c>
      <c r="AF23" s="11" t="n">
        <f aca="false">AE23+'Income Statement'!AF22</f>
        <v>65657835.0277778</v>
      </c>
      <c r="AG23" s="11" t="n">
        <f aca="false">AF23+'Income Statement'!AG22</f>
        <v>76731407.2222222</v>
      </c>
      <c r="AH23" s="11" t="n">
        <f aca="false">AG23+'Income Statement'!AH22</f>
        <v>88392433.4166667</v>
      </c>
      <c r="AI23" s="11" t="n">
        <f aca="false">AH23+'Income Statement'!AI22</f>
        <v>102069877.361111</v>
      </c>
      <c r="AJ23" s="11" t="n">
        <f aca="false">AI23+'Income Statement'!AJ22</f>
        <v>116334775.305556</v>
      </c>
      <c r="AK23" s="11" t="n">
        <f aca="false">AJ23+'Income Statement'!AK22</f>
        <v>131187127.25</v>
      </c>
    </row>
    <row r="24" customFormat="false" ht="15" hidden="false" customHeight="true" outlineLevel="0" collapsed="false">
      <c r="A24" s="14" t="s">
        <v>123</v>
      </c>
      <c r="B24" s="24" t="n">
        <f aca="false">B22+B23</f>
        <v>9122222.22222222</v>
      </c>
      <c r="C24" s="24" t="n">
        <f aca="false">C22+C23</f>
        <v>8244444.44444444</v>
      </c>
      <c r="D24" s="24" t="n">
        <f aca="false">D22+D23</f>
        <v>7366666.66666667</v>
      </c>
      <c r="E24" s="24" t="n">
        <f aca="false">E22+E23</f>
        <v>7038888.88888889</v>
      </c>
      <c r="F24" s="24" t="n">
        <f aca="false">F22+F23</f>
        <v>6711111.11111111</v>
      </c>
      <c r="G24" s="24" t="n">
        <f aca="false">G22+G23</f>
        <v>6383333.33333333</v>
      </c>
      <c r="H24" s="24" t="n">
        <f aca="false">H22+H23</f>
        <v>6055555.55555556</v>
      </c>
      <c r="I24" s="24" t="n">
        <f aca="false">I22+I23</f>
        <v>5727777.77777778</v>
      </c>
      <c r="J24" s="24" t="n">
        <f aca="false">J22+J23</f>
        <v>5400000</v>
      </c>
      <c r="K24" s="24" t="n">
        <f aca="false">K22+K23</f>
        <v>5557777.77777778</v>
      </c>
      <c r="L24" s="24" t="n">
        <f aca="false">L22+L23</f>
        <v>5715555.55555556</v>
      </c>
      <c r="M24" s="24" t="n">
        <f aca="false">M22+M23</f>
        <v>5873333.33333333</v>
      </c>
      <c r="N24" s="24" t="n">
        <f aca="false">N22+N23</f>
        <v>6028389.44444444</v>
      </c>
      <c r="O24" s="24" t="n">
        <f aca="false">O22+O23</f>
        <v>6323315.55555556</v>
      </c>
      <c r="P24" s="24" t="n">
        <f aca="false">P22+P23</f>
        <v>6758111.66666667</v>
      </c>
      <c r="Q24" s="24" t="n">
        <f aca="false">Q22+Q23</f>
        <v>7764102.77777778</v>
      </c>
      <c r="R24" s="24" t="n">
        <f aca="false">R22+R23</f>
        <v>8909963.88888889</v>
      </c>
      <c r="S24" s="24" t="n">
        <f aca="false">S22+S23</f>
        <v>10195695</v>
      </c>
      <c r="T24" s="24" t="n">
        <f aca="false">T22+T23</f>
        <v>12052621.1111111</v>
      </c>
      <c r="U24" s="24" t="n">
        <f aca="false">U22+U23</f>
        <v>14049417.2222222</v>
      </c>
      <c r="V24" s="24" t="n">
        <f aca="false">V22+V23</f>
        <v>16186083.3333333</v>
      </c>
      <c r="W24" s="24" t="n">
        <f aca="false">W22+W23</f>
        <v>19325269.4444444</v>
      </c>
      <c r="X24" s="24" t="n">
        <f aca="false">X22+X23</f>
        <v>22604325.5555556</v>
      </c>
      <c r="Y24" s="24" t="n">
        <f aca="false">Y22+Y23</f>
        <v>26023251.6666667</v>
      </c>
      <c r="Z24" s="24" t="n">
        <f aca="false">Z22+Z23</f>
        <v>30603039.6111111</v>
      </c>
      <c r="AA24" s="24" t="n">
        <f aca="false">AA22+AA23</f>
        <v>35770281.5555556</v>
      </c>
      <c r="AB24" s="24" t="n">
        <f aca="false">AB22+AB23</f>
        <v>41524977.5</v>
      </c>
      <c r="AC24" s="24" t="n">
        <f aca="false">AC22+AC23</f>
        <v>48819769.9444445</v>
      </c>
      <c r="AD24" s="24" t="n">
        <f aca="false">AD22+AD23</f>
        <v>56702016.3888889</v>
      </c>
      <c r="AE24" s="24" t="n">
        <f aca="false">AE22+AE23</f>
        <v>65171716.8333333</v>
      </c>
      <c r="AF24" s="24" t="n">
        <f aca="false">AF22+AF23</f>
        <v>75657835.0277778</v>
      </c>
      <c r="AG24" s="24" t="n">
        <f aca="false">AG22+AG23</f>
        <v>86731407.2222222</v>
      </c>
      <c r="AH24" s="24" t="n">
        <f aca="false">AH22+AH23</f>
        <v>98392433.4166667</v>
      </c>
      <c r="AI24" s="24" t="n">
        <f aca="false">AI22+AI23</f>
        <v>112069877.361111</v>
      </c>
      <c r="AJ24" s="24" t="n">
        <f aca="false">AJ22+AJ23</f>
        <v>126334775.305556</v>
      </c>
      <c r="AK24" s="24" t="n">
        <f aca="false">AK22+AK23</f>
        <v>141187127.25</v>
      </c>
    </row>
    <row r="26" customFormat="false" ht="15" hidden="false" customHeight="true" outlineLevel="0" collapsed="false">
      <c r="A26" s="25" t="s">
        <v>124</v>
      </c>
      <c r="B26" s="28" t="n">
        <f aca="false">B19+B24</f>
        <v>9155555.55555556</v>
      </c>
      <c r="C26" s="28" t="n">
        <f aca="false">C19+C24</f>
        <v>8277777.77777778</v>
      </c>
      <c r="D26" s="28" t="n">
        <f aca="false">D19+D24</f>
        <v>7400000</v>
      </c>
      <c r="E26" s="28" t="n">
        <f aca="false">E19+E24</f>
        <v>7105555.55555556</v>
      </c>
      <c r="F26" s="28" t="n">
        <f aca="false">F19+F24</f>
        <v>6777777.77777778</v>
      </c>
      <c r="G26" s="28" t="n">
        <f aca="false">G19+G24</f>
        <v>6450000</v>
      </c>
      <c r="H26" s="28" t="n">
        <f aca="false">H19+H24</f>
        <v>6122222.22222222</v>
      </c>
      <c r="I26" s="28" t="n">
        <f aca="false">I19+I24</f>
        <v>5794444.44444444</v>
      </c>
      <c r="J26" s="28" t="n">
        <f aca="false">J19+J24</f>
        <v>5466666.66666667</v>
      </c>
      <c r="K26" s="28" t="n">
        <f aca="false">K19+K24</f>
        <v>5657777.77777778</v>
      </c>
      <c r="L26" s="28" t="n">
        <f aca="false">L19+L24</f>
        <v>5815555.55555556</v>
      </c>
      <c r="M26" s="28" t="n">
        <f aca="false">M19+M24</f>
        <v>5973333.33333333</v>
      </c>
      <c r="N26" s="28" t="n">
        <f aca="false">N19+N24</f>
        <v>6175056.11111111</v>
      </c>
      <c r="O26" s="28" t="n">
        <f aca="false">O19+O24</f>
        <v>6476648.88888889</v>
      </c>
      <c r="P26" s="28" t="n">
        <f aca="false">P19+P24</f>
        <v>6918111.66666667</v>
      </c>
      <c r="Q26" s="28" t="n">
        <f aca="false">Q19+Q24</f>
        <v>7965769.44444444</v>
      </c>
      <c r="R26" s="28" t="n">
        <f aca="false">R19+R24</f>
        <v>9118297.22222222</v>
      </c>
      <c r="S26" s="28" t="n">
        <f aca="false">S19+S24</f>
        <v>10410695</v>
      </c>
      <c r="T26" s="28" t="n">
        <f aca="false">T19+T24</f>
        <v>12309287.7777778</v>
      </c>
      <c r="U26" s="28" t="n">
        <f aca="false">U19+U24</f>
        <v>14312750.5555556</v>
      </c>
      <c r="V26" s="28" t="n">
        <f aca="false">V19+V24</f>
        <v>16456083.3333333</v>
      </c>
      <c r="W26" s="28" t="n">
        <f aca="false">W19+W24</f>
        <v>19671936.1111111</v>
      </c>
      <c r="X26" s="28" t="n">
        <f aca="false">X19+X24</f>
        <v>22957658.8888889</v>
      </c>
      <c r="Y26" s="28" t="n">
        <f aca="false">Y19+Y24</f>
        <v>26383251.6666667</v>
      </c>
      <c r="Z26" s="28" t="n">
        <f aca="false">Z19+Z24</f>
        <v>31082539.6111111</v>
      </c>
      <c r="AA26" s="28" t="n">
        <f aca="false">AA19+AA24</f>
        <v>36277781.5555556</v>
      </c>
      <c r="AB26" s="28" t="n">
        <f aca="false">AB19+AB24</f>
        <v>42060477.5</v>
      </c>
      <c r="AC26" s="28" t="n">
        <f aca="false">AC19+AC24</f>
        <v>49456769.9444445</v>
      </c>
      <c r="AD26" s="28" t="n">
        <f aca="false">AD19+AD24</f>
        <v>57367016.3888889</v>
      </c>
      <c r="AE26" s="28" t="n">
        <f aca="false">AE19+AE24</f>
        <v>65864716.8333333</v>
      </c>
      <c r="AF26" s="28" t="n">
        <f aca="false">AF19+AF24</f>
        <v>76489085.0277778</v>
      </c>
      <c r="AG26" s="28" t="n">
        <f aca="false">AG19+AG24</f>
        <v>87590657.2222222</v>
      </c>
      <c r="AH26" s="28" t="n">
        <f aca="false">AH19+AH24</f>
        <v>99279683.4166667</v>
      </c>
      <c r="AI26" s="28" t="n">
        <f aca="false">AI19+AI24</f>
        <v>113095377.361111</v>
      </c>
      <c r="AJ26" s="28" t="n">
        <f aca="false">AJ19+AJ24</f>
        <v>127388275.305556</v>
      </c>
      <c r="AK26" s="28" t="n">
        <f aca="false">AK19+AK24</f>
        <v>142268627.25</v>
      </c>
    </row>
    <row r="27" customFormat="false" ht="15" hidden="false" customHeight="true" outlineLevel="0" collapsed="false">
      <c r="A27" s="27" t="s">
        <v>125</v>
      </c>
      <c r="B27" s="29" t="n">
        <f aca="false">B14-B26</f>
        <v>0</v>
      </c>
      <c r="C27" s="29" t="n">
        <f aca="false">C14-C26</f>
        <v>0</v>
      </c>
      <c r="D27" s="29" t="n">
        <f aca="false">D14-D26</f>
        <v>0</v>
      </c>
      <c r="E27" s="29" t="n">
        <f aca="false">E14-E26</f>
        <v>0</v>
      </c>
      <c r="F27" s="29" t="n">
        <f aca="false">F14-F26</f>
        <v>0</v>
      </c>
      <c r="G27" s="29" t="n">
        <f aca="false">G14-G26</f>
        <v>0</v>
      </c>
      <c r="H27" s="29" t="n">
        <f aca="false">H14-H26</f>
        <v>0</v>
      </c>
      <c r="I27" s="29" t="n">
        <f aca="false">I14-I26</f>
        <v>0</v>
      </c>
      <c r="J27" s="29" t="n">
        <f aca="false">J14-J26</f>
        <v>0</v>
      </c>
      <c r="K27" s="29" t="n">
        <f aca="false">K14-K26</f>
        <v>0</v>
      </c>
      <c r="L27" s="29" t="n">
        <f aca="false">L14-L26</f>
        <v>0</v>
      </c>
      <c r="M27" s="29" t="n">
        <f aca="false">M14-M26</f>
        <v>0</v>
      </c>
      <c r="N27" s="29" t="n">
        <f aca="false">N14-N26</f>
        <v>0</v>
      </c>
      <c r="O27" s="29" t="n">
        <f aca="false">O14-O26</f>
        <v>0</v>
      </c>
      <c r="P27" s="29" t="n">
        <f aca="false">P14-P26</f>
        <v>0</v>
      </c>
      <c r="Q27" s="29" t="n">
        <f aca="false">Q14-Q26</f>
        <v>0</v>
      </c>
      <c r="R27" s="29" t="n">
        <f aca="false">R14-R26</f>
        <v>0</v>
      </c>
      <c r="S27" s="29" t="n">
        <f aca="false">S14-S26</f>
        <v>0</v>
      </c>
      <c r="T27" s="29" t="n">
        <f aca="false">T14-T26</f>
        <v>0</v>
      </c>
      <c r="U27" s="29" t="n">
        <f aca="false">U14-U26</f>
        <v>0</v>
      </c>
      <c r="V27" s="29" t="n">
        <f aca="false">V14-V26</f>
        <v>0</v>
      </c>
      <c r="W27" s="29" t="n">
        <f aca="false">W14-W26</f>
        <v>0</v>
      </c>
      <c r="X27" s="29" t="n">
        <f aca="false">X14-X26</f>
        <v>0</v>
      </c>
      <c r="Y27" s="29" t="n">
        <f aca="false">Y14-Y26</f>
        <v>0</v>
      </c>
      <c r="Z27" s="29" t="n">
        <f aca="false">Z14-Z26</f>
        <v>0</v>
      </c>
      <c r="AA27" s="29" t="n">
        <f aca="false">AA14-AA26</f>
        <v>0</v>
      </c>
      <c r="AB27" s="29" t="n">
        <f aca="false">AB14-AB26</f>
        <v>0</v>
      </c>
      <c r="AC27" s="29" t="n">
        <f aca="false">AC14-AC26</f>
        <v>0</v>
      </c>
      <c r="AD27" s="29" t="n">
        <f aca="false">AD14-AD26</f>
        <v>0</v>
      </c>
      <c r="AE27" s="29" t="n">
        <f aca="false">AE14-AE26</f>
        <v>0</v>
      </c>
      <c r="AF27" s="29" t="n">
        <f aca="false">AF14-AF26</f>
        <v>0</v>
      </c>
      <c r="AG27" s="29" t="n">
        <f aca="false">AG14-AG26</f>
        <v>0</v>
      </c>
      <c r="AH27" s="29" t="n">
        <f aca="false">AH14-AH26</f>
        <v>0</v>
      </c>
      <c r="AI27" s="29" t="n">
        <f aca="false">AI14-AI26</f>
        <v>0</v>
      </c>
      <c r="AJ27" s="29" t="n">
        <f aca="false">AJ14-AJ26</f>
        <v>0</v>
      </c>
      <c r="AK27" s="29" t="n">
        <f aca="false">AK14-AK26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7" min="2" style="1" width="12"/>
  </cols>
  <sheetData>
    <row r="1" customFormat="false" ht="17.25" hidden="false" customHeight="true" outlineLevel="0" collapsed="false">
      <c r="A1" s="12" t="s">
        <v>126</v>
      </c>
    </row>
    <row r="2" customFormat="false" ht="15" hidden="false" customHeight="true" outlineLevel="0" collapsed="false">
      <c r="A2" s="3" t="s">
        <v>127</v>
      </c>
    </row>
    <row r="3" customFormat="false" ht="15" hidden="false" customHeight="true" outlineLevel="0" collapsed="false">
      <c r="A3" s="13" t="s">
        <v>128</v>
      </c>
    </row>
    <row r="5" customFormat="false" ht="15" hidden="false" customHeight="true" outlineLevel="0" collapsed="false">
      <c r="A5" s="14" t="s">
        <v>27</v>
      </c>
      <c r="B5" s="15" t="n">
        <v>1</v>
      </c>
      <c r="C5" s="15" t="n">
        <v>1</v>
      </c>
      <c r="D5" s="15" t="n">
        <v>1</v>
      </c>
      <c r="E5" s="15" t="n">
        <v>1</v>
      </c>
      <c r="F5" s="15" t="n">
        <v>1</v>
      </c>
      <c r="G5" s="15" t="n">
        <v>1</v>
      </c>
      <c r="H5" s="15" t="n">
        <v>1</v>
      </c>
      <c r="I5" s="15" t="n">
        <v>1</v>
      </c>
      <c r="J5" s="15" t="n">
        <v>1</v>
      </c>
      <c r="K5" s="15" t="n">
        <v>1</v>
      </c>
      <c r="L5" s="15" t="n">
        <v>1</v>
      </c>
      <c r="M5" s="15" t="n">
        <v>1</v>
      </c>
      <c r="N5" s="15" t="n">
        <v>2</v>
      </c>
      <c r="O5" s="15" t="n">
        <v>2</v>
      </c>
      <c r="P5" s="15" t="n">
        <v>2</v>
      </c>
      <c r="Q5" s="15" t="n">
        <v>2</v>
      </c>
      <c r="R5" s="15" t="n">
        <v>2</v>
      </c>
      <c r="S5" s="15" t="n">
        <v>2</v>
      </c>
      <c r="T5" s="15" t="n">
        <v>2</v>
      </c>
      <c r="U5" s="15" t="n">
        <v>2</v>
      </c>
      <c r="V5" s="15" t="n">
        <v>2</v>
      </c>
      <c r="W5" s="15" t="n">
        <v>2</v>
      </c>
      <c r="X5" s="15" t="n">
        <v>2</v>
      </c>
      <c r="Y5" s="15" t="n">
        <v>2</v>
      </c>
      <c r="Z5" s="15" t="n">
        <v>3</v>
      </c>
      <c r="AA5" s="15" t="n">
        <v>3</v>
      </c>
      <c r="AB5" s="15" t="n">
        <v>3</v>
      </c>
      <c r="AC5" s="15" t="n">
        <v>3</v>
      </c>
      <c r="AD5" s="15" t="n">
        <v>3</v>
      </c>
      <c r="AE5" s="15" t="n">
        <v>3</v>
      </c>
      <c r="AF5" s="15" t="n">
        <v>3</v>
      </c>
      <c r="AG5" s="15" t="n">
        <v>3</v>
      </c>
      <c r="AH5" s="15" t="n">
        <v>3</v>
      </c>
      <c r="AI5" s="15" t="n">
        <v>3</v>
      </c>
      <c r="AJ5" s="15" t="n">
        <v>3</v>
      </c>
      <c r="AK5" s="15" t="n">
        <v>3</v>
      </c>
    </row>
    <row r="6" customFormat="false" ht="15" hidden="false" customHeight="true" outlineLevel="0" collapsed="false">
      <c r="A6" s="14" t="s">
        <v>28</v>
      </c>
      <c r="B6" s="15" t="n">
        <v>1</v>
      </c>
      <c r="C6" s="15" t="n">
        <v>2</v>
      </c>
      <c r="D6" s="15" t="n">
        <v>3</v>
      </c>
      <c r="E6" s="15" t="n">
        <v>4</v>
      </c>
      <c r="F6" s="15" t="n">
        <v>5</v>
      </c>
      <c r="G6" s="15" t="n">
        <v>6</v>
      </c>
      <c r="H6" s="15" t="n">
        <v>7</v>
      </c>
      <c r="I6" s="15" t="n">
        <v>8</v>
      </c>
      <c r="J6" s="15" t="n">
        <v>9</v>
      </c>
      <c r="K6" s="15" t="n">
        <v>10</v>
      </c>
      <c r="L6" s="15" t="n">
        <v>11</v>
      </c>
      <c r="M6" s="15" t="n">
        <v>12</v>
      </c>
      <c r="N6" s="15" t="n">
        <v>13</v>
      </c>
      <c r="O6" s="15" t="n">
        <v>14</v>
      </c>
      <c r="P6" s="15" t="n">
        <v>15</v>
      </c>
      <c r="Q6" s="15" t="n">
        <v>16</v>
      </c>
      <c r="R6" s="15" t="n">
        <v>17</v>
      </c>
      <c r="S6" s="15" t="n">
        <v>18</v>
      </c>
      <c r="T6" s="15" t="n">
        <v>19</v>
      </c>
      <c r="U6" s="15" t="n">
        <v>20</v>
      </c>
      <c r="V6" s="15" t="n">
        <v>21</v>
      </c>
      <c r="W6" s="15" t="n">
        <v>22</v>
      </c>
      <c r="X6" s="15" t="n">
        <v>23</v>
      </c>
      <c r="Y6" s="15" t="n">
        <v>24</v>
      </c>
      <c r="Z6" s="15" t="n">
        <v>25</v>
      </c>
      <c r="AA6" s="15" t="n">
        <v>26</v>
      </c>
      <c r="AB6" s="15" t="n">
        <v>27</v>
      </c>
      <c r="AC6" s="15" t="n">
        <v>28</v>
      </c>
      <c r="AD6" s="15" t="n">
        <v>29</v>
      </c>
      <c r="AE6" s="15" t="n">
        <v>30</v>
      </c>
      <c r="AF6" s="15" t="n">
        <v>31</v>
      </c>
      <c r="AG6" s="15" t="n">
        <v>32</v>
      </c>
      <c r="AH6" s="15" t="n">
        <v>33</v>
      </c>
      <c r="AI6" s="15" t="n">
        <v>34</v>
      </c>
      <c r="AJ6" s="15" t="n">
        <v>35</v>
      </c>
      <c r="AK6" s="15" t="n">
        <v>36</v>
      </c>
    </row>
    <row r="8" customFormat="false" ht="15" hidden="false" customHeight="true" outlineLevel="0" collapsed="false">
      <c r="A8" s="4" t="s">
        <v>129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customFormat="false" ht="15" hidden="false" customHeight="true" outlineLevel="0" collapsed="false">
      <c r="A9" s="10" t="s">
        <v>130</v>
      </c>
      <c r="B9" s="11" t="n">
        <f aca="false">'Income Statement'!B22</f>
        <v>-877777.777777778</v>
      </c>
      <c r="C9" s="11" t="n">
        <f aca="false">'Income Statement'!C22</f>
        <v>-877777.777777778</v>
      </c>
      <c r="D9" s="11" t="n">
        <f aca="false">'Income Statement'!D22</f>
        <v>-877777.777777778</v>
      </c>
      <c r="E9" s="11" t="n">
        <f aca="false">'Income Statement'!E22</f>
        <v>-327777.777777778</v>
      </c>
      <c r="F9" s="11" t="n">
        <f aca="false">'Income Statement'!F22</f>
        <v>-327777.777777778</v>
      </c>
      <c r="G9" s="11" t="n">
        <f aca="false">'Income Statement'!G22</f>
        <v>-327777.777777778</v>
      </c>
      <c r="H9" s="11" t="n">
        <f aca="false">'Income Statement'!H22</f>
        <v>-327777.777777778</v>
      </c>
      <c r="I9" s="11" t="n">
        <f aca="false">'Income Statement'!I22</f>
        <v>-327777.777777778</v>
      </c>
      <c r="J9" s="11" t="n">
        <f aca="false">'Income Statement'!J22</f>
        <v>-327777.777777778</v>
      </c>
      <c r="K9" s="11" t="n">
        <f aca="false">'Income Statement'!K22</f>
        <v>157777.777777778</v>
      </c>
      <c r="L9" s="11" t="n">
        <f aca="false">'Income Statement'!L22</f>
        <v>157777.777777778</v>
      </c>
      <c r="M9" s="11" t="n">
        <f aca="false">'Income Statement'!M22</f>
        <v>157777.777777778</v>
      </c>
      <c r="N9" s="11" t="n">
        <f aca="false">'Income Statement'!N22</f>
        <v>155056.111111111</v>
      </c>
      <c r="O9" s="11" t="n">
        <f aca="false">'Income Statement'!O22</f>
        <v>294926.111111111</v>
      </c>
      <c r="P9" s="11" t="n">
        <f aca="false">'Income Statement'!P22</f>
        <v>434796.111111111</v>
      </c>
      <c r="Q9" s="11" t="n">
        <f aca="false">'Income Statement'!Q22</f>
        <v>1005991.11111111</v>
      </c>
      <c r="R9" s="11" t="n">
        <f aca="false">'Income Statement'!R22</f>
        <v>1145861.11111111</v>
      </c>
      <c r="S9" s="11" t="n">
        <f aca="false">'Income Statement'!S22</f>
        <v>1285731.11111111</v>
      </c>
      <c r="T9" s="11" t="n">
        <f aca="false">'Income Statement'!T22</f>
        <v>1856926.11111111</v>
      </c>
      <c r="U9" s="11" t="n">
        <f aca="false">'Income Statement'!U22</f>
        <v>1996796.11111111</v>
      </c>
      <c r="V9" s="11" t="n">
        <f aca="false">'Income Statement'!V22</f>
        <v>2136666.11111111</v>
      </c>
      <c r="W9" s="11" t="n">
        <f aca="false">'Income Statement'!W22</f>
        <v>3139186.11111111</v>
      </c>
      <c r="X9" s="11" t="n">
        <f aca="false">'Income Statement'!X22</f>
        <v>3279056.11111111</v>
      </c>
      <c r="Y9" s="11" t="n">
        <f aca="false">'Income Statement'!Y22</f>
        <v>3418926.11111111</v>
      </c>
      <c r="Z9" s="11" t="n">
        <f aca="false">'Income Statement'!Z22</f>
        <v>4579787.94444445</v>
      </c>
      <c r="AA9" s="11" t="n">
        <f aca="false">'Income Statement'!AA22</f>
        <v>5167241.94444445</v>
      </c>
      <c r="AB9" s="11" t="n">
        <f aca="false">'Income Statement'!AB22</f>
        <v>5754695.94444445</v>
      </c>
      <c r="AC9" s="11" t="n">
        <f aca="false">'Income Statement'!AC22</f>
        <v>7294792.44444445</v>
      </c>
      <c r="AD9" s="11" t="n">
        <f aca="false">'Income Statement'!AD22</f>
        <v>7882246.44444445</v>
      </c>
      <c r="AE9" s="11" t="n">
        <f aca="false">'Income Statement'!AE22</f>
        <v>8469700.44444444</v>
      </c>
      <c r="AF9" s="11" t="n">
        <f aca="false">'Income Statement'!AF22</f>
        <v>10486118.1944444</v>
      </c>
      <c r="AG9" s="11" t="n">
        <f aca="false">'Income Statement'!AG22</f>
        <v>11073572.1944444</v>
      </c>
      <c r="AH9" s="11" t="n">
        <f aca="false">'Income Statement'!AH22</f>
        <v>11661026.1944444</v>
      </c>
      <c r="AI9" s="11" t="n">
        <f aca="false">'Income Statement'!AI22</f>
        <v>13677443.9444444</v>
      </c>
      <c r="AJ9" s="11" t="n">
        <f aca="false">'Income Statement'!AJ22</f>
        <v>14264897.9444444</v>
      </c>
      <c r="AK9" s="11" t="n">
        <f aca="false">'Income Statement'!AK22</f>
        <v>14852351.9444444</v>
      </c>
    </row>
    <row r="10" customFormat="false" ht="15" hidden="false" customHeight="true" outlineLevel="0" collapsed="false">
      <c r="A10" s="10" t="s">
        <v>131</v>
      </c>
      <c r="B10" s="23" t="n">
        <f aca="false">Depreciation!B22</f>
        <v>77777.7777777778</v>
      </c>
      <c r="C10" s="23" t="n">
        <f aca="false">Depreciation!C22</f>
        <v>77777.7777777778</v>
      </c>
      <c r="D10" s="23" t="n">
        <f aca="false">Depreciation!D22</f>
        <v>77777.7777777778</v>
      </c>
      <c r="E10" s="23" t="n">
        <f aca="false">Depreciation!E22</f>
        <v>77777.7777777778</v>
      </c>
      <c r="F10" s="23" t="n">
        <f aca="false">Depreciation!F22</f>
        <v>77777.7777777778</v>
      </c>
      <c r="G10" s="23" t="n">
        <f aca="false">Depreciation!G22</f>
        <v>77777.7777777778</v>
      </c>
      <c r="H10" s="23" t="n">
        <f aca="false">Depreciation!H22</f>
        <v>77777.7777777778</v>
      </c>
      <c r="I10" s="23" t="n">
        <f aca="false">Depreciation!I22</f>
        <v>77777.7777777778</v>
      </c>
      <c r="J10" s="23" t="n">
        <f aca="false">Depreciation!J22</f>
        <v>77777.7777777778</v>
      </c>
      <c r="K10" s="23" t="n">
        <f aca="false">Depreciation!K22</f>
        <v>77777.7777777778</v>
      </c>
      <c r="L10" s="23" t="n">
        <f aca="false">Depreciation!L22</f>
        <v>77777.7777777778</v>
      </c>
      <c r="M10" s="23" t="n">
        <f aca="false">Depreciation!M22</f>
        <v>77777.7777777778</v>
      </c>
      <c r="N10" s="23" t="n">
        <f aca="false">Depreciation!N22</f>
        <v>98611.1111111111</v>
      </c>
      <c r="O10" s="23" t="n">
        <f aca="false">Depreciation!O22</f>
        <v>98611.1111111111</v>
      </c>
      <c r="P10" s="23" t="n">
        <f aca="false">Depreciation!P22</f>
        <v>98611.1111111111</v>
      </c>
      <c r="Q10" s="23" t="n">
        <f aca="false">Depreciation!Q22</f>
        <v>98611.1111111111</v>
      </c>
      <c r="R10" s="23" t="n">
        <f aca="false">Depreciation!R22</f>
        <v>98611.1111111111</v>
      </c>
      <c r="S10" s="23" t="n">
        <f aca="false">Depreciation!S22</f>
        <v>98611.1111111111</v>
      </c>
      <c r="T10" s="23" t="n">
        <f aca="false">Depreciation!T22</f>
        <v>98611.1111111111</v>
      </c>
      <c r="U10" s="23" t="n">
        <f aca="false">Depreciation!U22</f>
        <v>98611.1111111111</v>
      </c>
      <c r="V10" s="23" t="n">
        <f aca="false">Depreciation!V22</f>
        <v>98611.1111111111</v>
      </c>
      <c r="W10" s="23" t="n">
        <f aca="false">Depreciation!W22</f>
        <v>98611.1111111111</v>
      </c>
      <c r="X10" s="23" t="n">
        <f aca="false">Depreciation!X22</f>
        <v>98611.1111111111</v>
      </c>
      <c r="Y10" s="23" t="n">
        <f aca="false">Depreciation!Y22</f>
        <v>98611.1111111111</v>
      </c>
      <c r="Z10" s="23" t="n">
        <f aca="false">Depreciation!Z22</f>
        <v>119444.444444444</v>
      </c>
      <c r="AA10" s="23" t="n">
        <f aca="false">Depreciation!AA22</f>
        <v>119444.444444444</v>
      </c>
      <c r="AB10" s="23" t="n">
        <f aca="false">Depreciation!AB22</f>
        <v>119444.444444444</v>
      </c>
      <c r="AC10" s="23" t="n">
        <f aca="false">Depreciation!AC22</f>
        <v>119444.444444444</v>
      </c>
      <c r="AD10" s="23" t="n">
        <f aca="false">Depreciation!AD22</f>
        <v>119444.444444444</v>
      </c>
      <c r="AE10" s="23" t="n">
        <f aca="false">Depreciation!AE22</f>
        <v>119444.444444444</v>
      </c>
      <c r="AF10" s="23" t="n">
        <f aca="false">Depreciation!AF22</f>
        <v>119444.444444444</v>
      </c>
      <c r="AG10" s="23" t="n">
        <f aca="false">Depreciation!AG22</f>
        <v>119444.444444444</v>
      </c>
      <c r="AH10" s="23" t="n">
        <f aca="false">Depreciation!AH22</f>
        <v>119444.444444444</v>
      </c>
      <c r="AI10" s="23" t="n">
        <f aca="false">Depreciation!AI22</f>
        <v>119444.444444444</v>
      </c>
      <c r="AJ10" s="23" t="n">
        <f aca="false">Depreciation!AJ22</f>
        <v>119444.444444444</v>
      </c>
      <c r="AK10" s="23" t="n">
        <f aca="false">Depreciation!AK22</f>
        <v>119444.444444444</v>
      </c>
    </row>
    <row r="11" customFormat="false" ht="15" hidden="false" customHeight="true" outlineLevel="0" collapsed="false">
      <c r="A11" s="10" t="s">
        <v>132</v>
      </c>
      <c r="B11" s="11" t="n">
        <f aca="false">-('Balance Sheet'!B10)</f>
        <v>-666666.666666667</v>
      </c>
      <c r="C11" s="11" t="n">
        <f aca="false">-('Balance Sheet'!C10-'Balance Sheet'!B10)</f>
        <v>-0</v>
      </c>
      <c r="D11" s="11" t="n">
        <f aca="false">-('Balance Sheet'!D10-'Balance Sheet'!C10)</f>
        <v>-0</v>
      </c>
      <c r="E11" s="11" t="n">
        <f aca="false">-('Balance Sheet'!E10-'Balance Sheet'!D10)</f>
        <v>-666666.666666667</v>
      </c>
      <c r="F11" s="11" t="n">
        <f aca="false">-('Balance Sheet'!F10-'Balance Sheet'!E10)</f>
        <v>-0</v>
      </c>
      <c r="G11" s="11" t="n">
        <f aca="false">-('Balance Sheet'!G10-'Balance Sheet'!F10)</f>
        <v>-0</v>
      </c>
      <c r="H11" s="11" t="n">
        <f aca="false">-('Balance Sheet'!H10-'Balance Sheet'!G10)</f>
        <v>-0</v>
      </c>
      <c r="I11" s="11" t="n">
        <f aca="false">-('Balance Sheet'!I10-'Balance Sheet'!H10)</f>
        <v>-0</v>
      </c>
      <c r="J11" s="11" t="n">
        <f aca="false">-('Balance Sheet'!J10-'Balance Sheet'!I10)</f>
        <v>-0</v>
      </c>
      <c r="K11" s="11" t="n">
        <f aca="false">-('Balance Sheet'!K10-'Balance Sheet'!J10)</f>
        <v>-666666.666666667</v>
      </c>
      <c r="L11" s="11" t="n">
        <f aca="false">-('Balance Sheet'!L10-'Balance Sheet'!K10)</f>
        <v>-0</v>
      </c>
      <c r="M11" s="11" t="n">
        <f aca="false">-('Balance Sheet'!M10-'Balance Sheet'!L10)</f>
        <v>-0</v>
      </c>
      <c r="N11" s="11" t="n">
        <f aca="false">-('Balance Sheet'!N10-'Balance Sheet'!M10)</f>
        <v>-1158333.33333333</v>
      </c>
      <c r="O11" s="11" t="n">
        <f aca="false">-('Balance Sheet'!O10-'Balance Sheet'!N10)</f>
        <v>-225000</v>
      </c>
      <c r="P11" s="11" t="n">
        <f aca="false">-('Balance Sheet'!P10-'Balance Sheet'!O10)</f>
        <v>-225000</v>
      </c>
      <c r="Q11" s="11" t="n">
        <f aca="false">-('Balance Sheet'!Q10-'Balance Sheet'!P10)</f>
        <v>-958333.333333333</v>
      </c>
      <c r="R11" s="11" t="n">
        <f aca="false">-('Balance Sheet'!R10-'Balance Sheet'!Q10)</f>
        <v>-225000</v>
      </c>
      <c r="S11" s="11" t="n">
        <f aca="false">-('Balance Sheet'!S10-'Balance Sheet'!R10)</f>
        <v>-225000</v>
      </c>
      <c r="T11" s="11" t="n">
        <f aca="false">-('Balance Sheet'!T10-'Balance Sheet'!S10)</f>
        <v>-958333.333333334</v>
      </c>
      <c r="U11" s="11" t="n">
        <f aca="false">-('Balance Sheet'!U10-'Balance Sheet'!T10)</f>
        <v>-225000</v>
      </c>
      <c r="V11" s="11" t="n">
        <f aca="false">-('Balance Sheet'!V10-'Balance Sheet'!U10)</f>
        <v>-225000</v>
      </c>
      <c r="W11" s="11" t="n">
        <f aca="false">-('Balance Sheet'!W10-'Balance Sheet'!V10)</f>
        <v>-1691666.66666667</v>
      </c>
      <c r="X11" s="11" t="n">
        <f aca="false">-('Balance Sheet'!X10-'Balance Sheet'!W10)</f>
        <v>-225000</v>
      </c>
      <c r="Y11" s="11" t="n">
        <f aca="false">-('Balance Sheet'!Y10-'Balance Sheet'!X10)</f>
        <v>-225000.000000001</v>
      </c>
      <c r="Z11" s="11" t="n">
        <f aca="false">-('Balance Sheet'!Z10-'Balance Sheet'!Y10)</f>
        <v>-3280000</v>
      </c>
      <c r="AA11" s="11" t="n">
        <f aca="false">-('Balance Sheet'!AA10-'Balance Sheet'!Z10)</f>
        <v>-945000</v>
      </c>
      <c r="AB11" s="11" t="n">
        <f aca="false">-('Balance Sheet'!AB10-'Balance Sheet'!AA10)</f>
        <v>-945000</v>
      </c>
      <c r="AC11" s="11" t="n">
        <f aca="false">-('Balance Sheet'!AC10-'Balance Sheet'!AB10)</f>
        <v>-2558333.33333333</v>
      </c>
      <c r="AD11" s="11" t="n">
        <f aca="false">-('Balance Sheet'!AD10-'Balance Sheet'!AC10)</f>
        <v>-945000</v>
      </c>
      <c r="AE11" s="11" t="n">
        <f aca="false">-('Balance Sheet'!AE10-'Balance Sheet'!AD10)</f>
        <v>-945000</v>
      </c>
      <c r="AF11" s="11" t="n">
        <f aca="false">-('Balance Sheet'!AF10-'Balance Sheet'!AE10)</f>
        <v>-3365000</v>
      </c>
      <c r="AG11" s="11" t="n">
        <f aca="false">-('Balance Sheet'!AG10-'Balance Sheet'!AF10)</f>
        <v>-945000</v>
      </c>
      <c r="AH11" s="11" t="n">
        <f aca="false">-('Balance Sheet'!AH10-'Balance Sheet'!AG10)</f>
        <v>-945000</v>
      </c>
      <c r="AI11" s="11" t="n">
        <f aca="false">-('Balance Sheet'!AI10-'Balance Sheet'!AH10)</f>
        <v>-3365000</v>
      </c>
      <c r="AJ11" s="11" t="n">
        <f aca="false">-('Balance Sheet'!AJ10-'Balance Sheet'!AI10)</f>
        <v>-945000</v>
      </c>
      <c r="AK11" s="11" t="n">
        <f aca="false">-('Balance Sheet'!AK10-'Balance Sheet'!AJ10)</f>
        <v>-945000</v>
      </c>
    </row>
    <row r="12" customFormat="false" ht="15" hidden="false" customHeight="true" outlineLevel="0" collapsed="false">
      <c r="A12" s="10" t="s">
        <v>133</v>
      </c>
      <c r="B12" s="11" t="n">
        <f aca="false">'Balance Sheet'!B17</f>
        <v>33333.3333333333</v>
      </c>
      <c r="C12" s="11" t="n">
        <f aca="false">'Balance Sheet'!C17-'Balance Sheet'!B17</f>
        <v>0</v>
      </c>
      <c r="D12" s="11" t="n">
        <f aca="false">'Balance Sheet'!D17-'Balance Sheet'!C17</f>
        <v>0</v>
      </c>
      <c r="E12" s="11" t="n">
        <f aca="false">'Balance Sheet'!E17-'Balance Sheet'!D17</f>
        <v>33333.3333333333</v>
      </c>
      <c r="F12" s="11" t="n">
        <f aca="false">'Balance Sheet'!F17-'Balance Sheet'!E17</f>
        <v>0</v>
      </c>
      <c r="G12" s="11" t="n">
        <f aca="false">'Balance Sheet'!G17-'Balance Sheet'!F17</f>
        <v>0</v>
      </c>
      <c r="H12" s="11" t="n">
        <f aca="false">'Balance Sheet'!H17-'Balance Sheet'!G17</f>
        <v>0</v>
      </c>
      <c r="I12" s="11" t="n">
        <f aca="false">'Balance Sheet'!I17-'Balance Sheet'!H17</f>
        <v>0</v>
      </c>
      <c r="J12" s="11" t="n">
        <f aca="false">'Balance Sheet'!J17-'Balance Sheet'!I17</f>
        <v>0</v>
      </c>
      <c r="K12" s="11" t="n">
        <f aca="false">'Balance Sheet'!K17-'Balance Sheet'!J17</f>
        <v>33333.3333333333</v>
      </c>
      <c r="L12" s="11" t="n">
        <f aca="false">'Balance Sheet'!L17-'Balance Sheet'!K17</f>
        <v>0</v>
      </c>
      <c r="M12" s="11" t="n">
        <f aca="false">'Balance Sheet'!M17-'Balance Sheet'!L17</f>
        <v>0</v>
      </c>
      <c r="N12" s="11" t="n">
        <f aca="false">'Balance Sheet'!N17-'Balance Sheet'!M17</f>
        <v>46666.6666666667</v>
      </c>
      <c r="O12" s="11" t="n">
        <f aca="false">'Balance Sheet'!O17-'Balance Sheet'!N17</f>
        <v>6666.66666666669</v>
      </c>
      <c r="P12" s="11" t="n">
        <f aca="false">'Balance Sheet'!P17-'Balance Sheet'!O17</f>
        <v>6666.66666666666</v>
      </c>
      <c r="Q12" s="11" t="n">
        <f aca="false">'Balance Sheet'!Q17-'Balance Sheet'!P17</f>
        <v>41666.6666666667</v>
      </c>
      <c r="R12" s="11" t="n">
        <f aca="false">'Balance Sheet'!R17-'Balance Sheet'!Q17</f>
        <v>6666.66666666669</v>
      </c>
      <c r="S12" s="11" t="n">
        <f aca="false">'Balance Sheet'!S17-'Balance Sheet'!R17</f>
        <v>6666.66666666666</v>
      </c>
      <c r="T12" s="11" t="n">
        <f aca="false">'Balance Sheet'!T17-'Balance Sheet'!S17</f>
        <v>41666.6666666667</v>
      </c>
      <c r="U12" s="11" t="n">
        <f aca="false">'Balance Sheet'!U17-'Balance Sheet'!T17</f>
        <v>6666.66666666666</v>
      </c>
      <c r="V12" s="11" t="n">
        <f aca="false">'Balance Sheet'!V17-'Balance Sheet'!U17</f>
        <v>6666.66666666669</v>
      </c>
      <c r="W12" s="11" t="n">
        <f aca="false">'Balance Sheet'!W17-'Balance Sheet'!V17</f>
        <v>76666.6666666667</v>
      </c>
      <c r="X12" s="11" t="n">
        <f aca="false">'Balance Sheet'!X17-'Balance Sheet'!W17</f>
        <v>6666.66666666663</v>
      </c>
      <c r="Y12" s="11" t="n">
        <f aca="false">'Balance Sheet'!Y17-'Balance Sheet'!X17</f>
        <v>6666.66666666669</v>
      </c>
      <c r="Z12" s="11" t="n">
        <f aca="false">'Balance Sheet'!Z17-'Balance Sheet'!Y17</f>
        <v>119500</v>
      </c>
      <c r="AA12" s="11" t="n">
        <f aca="false">'Balance Sheet'!AA17-'Balance Sheet'!Z17</f>
        <v>28000</v>
      </c>
      <c r="AB12" s="11" t="n">
        <f aca="false">'Balance Sheet'!AB17-'Balance Sheet'!AA17</f>
        <v>28000</v>
      </c>
      <c r="AC12" s="11" t="n">
        <f aca="false">'Balance Sheet'!AC17-'Balance Sheet'!AB17</f>
        <v>101500</v>
      </c>
      <c r="AD12" s="11" t="n">
        <f aca="false">'Balance Sheet'!AD17-'Balance Sheet'!AC17</f>
        <v>28000</v>
      </c>
      <c r="AE12" s="11" t="n">
        <f aca="false">'Balance Sheet'!AE17-'Balance Sheet'!AD17</f>
        <v>28000</v>
      </c>
      <c r="AF12" s="11" t="n">
        <f aca="false">'Balance Sheet'!AF17-'Balance Sheet'!AE17</f>
        <v>138250</v>
      </c>
      <c r="AG12" s="11" t="n">
        <f aca="false">'Balance Sheet'!AG17-'Balance Sheet'!AF17</f>
        <v>28000</v>
      </c>
      <c r="AH12" s="11" t="n">
        <f aca="false">'Balance Sheet'!AH17-'Balance Sheet'!AG17</f>
        <v>28000</v>
      </c>
      <c r="AI12" s="11" t="n">
        <f aca="false">'Balance Sheet'!AI17-'Balance Sheet'!AH17</f>
        <v>138250</v>
      </c>
      <c r="AJ12" s="11" t="n">
        <f aca="false">'Balance Sheet'!AJ17-'Balance Sheet'!AI17</f>
        <v>28000</v>
      </c>
      <c r="AK12" s="11" t="n">
        <f aca="false">'Balance Sheet'!AK17-'Balance Sheet'!AJ17</f>
        <v>28000</v>
      </c>
    </row>
    <row r="13" customFormat="false" ht="15" hidden="false" customHeight="true" outlineLevel="0" collapsed="false">
      <c r="A13" s="14" t="s">
        <v>134</v>
      </c>
      <c r="B13" s="24" t="n">
        <f aca="false">SUM(B9:B12)</f>
        <v>-1433333.33333333</v>
      </c>
      <c r="C13" s="24" t="n">
        <f aca="false">SUM(C9:C12)</f>
        <v>-800000</v>
      </c>
      <c r="D13" s="24" t="n">
        <f aca="false">SUM(D9:D12)</f>
        <v>-800000</v>
      </c>
      <c r="E13" s="24" t="n">
        <f aca="false">SUM(E9:E12)</f>
        <v>-883333.333333333</v>
      </c>
      <c r="F13" s="24" t="n">
        <f aca="false">SUM(F9:F12)</f>
        <v>-250000</v>
      </c>
      <c r="G13" s="24" t="n">
        <f aca="false">SUM(G9:G12)</f>
        <v>-250000</v>
      </c>
      <c r="H13" s="24" t="n">
        <f aca="false">SUM(H9:H12)</f>
        <v>-250000</v>
      </c>
      <c r="I13" s="24" t="n">
        <f aca="false">SUM(I9:I12)</f>
        <v>-250000</v>
      </c>
      <c r="J13" s="24" t="n">
        <f aca="false">SUM(J9:J12)</f>
        <v>-250000</v>
      </c>
      <c r="K13" s="24" t="n">
        <f aca="false">SUM(K9:K12)</f>
        <v>-397777.777777778</v>
      </c>
      <c r="L13" s="24" t="n">
        <f aca="false">SUM(L9:L12)</f>
        <v>235555.555555556</v>
      </c>
      <c r="M13" s="24" t="n">
        <f aca="false">SUM(M9:M12)</f>
        <v>235555.555555556</v>
      </c>
      <c r="N13" s="24" t="n">
        <f aca="false">SUM(N9:N12)</f>
        <v>-857999.444444445</v>
      </c>
      <c r="O13" s="24" t="n">
        <f aca="false">SUM(O9:O12)</f>
        <v>175203.888888889</v>
      </c>
      <c r="P13" s="24" t="n">
        <f aca="false">SUM(P9:P12)</f>
        <v>315073.888888889</v>
      </c>
      <c r="Q13" s="24" t="n">
        <f aca="false">SUM(Q9:Q12)</f>
        <v>187935.555555556</v>
      </c>
      <c r="R13" s="24" t="n">
        <f aca="false">SUM(R9:R12)</f>
        <v>1026138.88888889</v>
      </c>
      <c r="S13" s="24" t="n">
        <f aca="false">SUM(S9:S12)</f>
        <v>1166008.88888889</v>
      </c>
      <c r="T13" s="24" t="n">
        <f aca="false">SUM(T9:T12)</f>
        <v>1038870.55555556</v>
      </c>
      <c r="U13" s="24" t="n">
        <f aca="false">SUM(U9:U12)</f>
        <v>1877073.88888889</v>
      </c>
      <c r="V13" s="24" t="n">
        <f aca="false">SUM(V9:V12)</f>
        <v>2016943.88888889</v>
      </c>
      <c r="W13" s="24" t="n">
        <f aca="false">SUM(W9:W12)</f>
        <v>1622797.22222222</v>
      </c>
      <c r="X13" s="24" t="n">
        <f aca="false">SUM(X9:X12)</f>
        <v>3159333.88888889</v>
      </c>
      <c r="Y13" s="24" t="n">
        <f aca="false">SUM(Y9:Y12)</f>
        <v>3299203.88888889</v>
      </c>
      <c r="Z13" s="24" t="n">
        <f aca="false">SUM(Z9:Z12)</f>
        <v>1538732.38888889</v>
      </c>
      <c r="AA13" s="24" t="n">
        <f aca="false">SUM(AA9:AA12)</f>
        <v>4369686.38888889</v>
      </c>
      <c r="AB13" s="24" t="n">
        <f aca="false">SUM(AB9:AB12)</f>
        <v>4957140.38888889</v>
      </c>
      <c r="AC13" s="24" t="n">
        <f aca="false">SUM(AC9:AC12)</f>
        <v>4957403.55555556</v>
      </c>
      <c r="AD13" s="24" t="n">
        <f aca="false">SUM(AD9:AD12)</f>
        <v>7084690.88888889</v>
      </c>
      <c r="AE13" s="24" t="n">
        <f aca="false">SUM(AE9:AE12)</f>
        <v>7672144.88888889</v>
      </c>
      <c r="AF13" s="24" t="n">
        <f aca="false">SUM(AF9:AF12)</f>
        <v>7378812.63888889</v>
      </c>
      <c r="AG13" s="24" t="n">
        <f aca="false">SUM(AG9:AG12)</f>
        <v>10276016.6388889</v>
      </c>
      <c r="AH13" s="24" t="n">
        <f aca="false">SUM(AH9:AH12)</f>
        <v>10863470.6388889</v>
      </c>
      <c r="AI13" s="24" t="n">
        <f aca="false">SUM(AI9:AI12)</f>
        <v>10570138.3888889</v>
      </c>
      <c r="AJ13" s="24" t="n">
        <f aca="false">SUM(AJ9:AJ12)</f>
        <v>13467342.3888889</v>
      </c>
      <c r="AK13" s="24" t="n">
        <f aca="false">SUM(AK9:AK12)</f>
        <v>14054796.3888889</v>
      </c>
    </row>
    <row r="15" customFormat="false" ht="15" hidden="false" customHeight="true" outlineLevel="0" collapsed="false">
      <c r="A15" s="4" t="s">
        <v>135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customFormat="false" ht="15" hidden="false" customHeight="true" outlineLevel="0" collapsed="false">
      <c r="A16" s="10" t="s">
        <v>136</v>
      </c>
      <c r="B16" s="11" t="n">
        <f aca="false">-SUMPRODUCT((Depreciation!$B$6:$B$10=B6)*Depreciation!$C$6:$C$10)</f>
        <v>-3000000</v>
      </c>
      <c r="C16" s="11" t="n">
        <f aca="false">-SUMPRODUCT((Depreciation!$B$6:$B$10=C6)*Depreciation!$C$6:$C$10)</f>
        <v>-0</v>
      </c>
      <c r="D16" s="11" t="n">
        <f aca="false">-SUMPRODUCT((Depreciation!$B$6:$B$10=D6)*Depreciation!$C$6:$C$10)</f>
        <v>-0</v>
      </c>
      <c r="E16" s="11" t="n">
        <f aca="false">-SUMPRODUCT((Depreciation!$B$6:$B$10=E6)*Depreciation!$C$6:$C$10)</f>
        <v>-0</v>
      </c>
      <c r="F16" s="11" t="n">
        <f aca="false">-SUMPRODUCT((Depreciation!$B$6:$B$10=F6)*Depreciation!$C$6:$C$10)</f>
        <v>-0</v>
      </c>
      <c r="G16" s="11" t="n">
        <f aca="false">-SUMPRODUCT((Depreciation!$B$6:$B$10=G6)*Depreciation!$C$6:$C$10)</f>
        <v>-0</v>
      </c>
      <c r="H16" s="11" t="n">
        <f aca="false">-SUMPRODUCT((Depreciation!$B$6:$B$10=H6)*Depreciation!$C$6:$C$10)</f>
        <v>-0</v>
      </c>
      <c r="I16" s="11" t="n">
        <f aca="false">-SUMPRODUCT((Depreciation!$B$6:$B$10=I6)*Depreciation!$C$6:$C$10)</f>
        <v>-0</v>
      </c>
      <c r="J16" s="11" t="n">
        <f aca="false">-SUMPRODUCT((Depreciation!$B$6:$B$10=J6)*Depreciation!$C$6:$C$10)</f>
        <v>-0</v>
      </c>
      <c r="K16" s="11" t="n">
        <f aca="false">-SUMPRODUCT((Depreciation!$B$6:$B$10=K6)*Depreciation!$C$6:$C$10)</f>
        <v>-0</v>
      </c>
      <c r="L16" s="11" t="n">
        <f aca="false">-SUMPRODUCT((Depreciation!$B$6:$B$10=L6)*Depreciation!$C$6:$C$10)</f>
        <v>-0</v>
      </c>
      <c r="M16" s="11" t="n">
        <f aca="false">-SUMPRODUCT((Depreciation!$B$6:$B$10=M6)*Depreciation!$C$6:$C$10)</f>
        <v>-0</v>
      </c>
      <c r="N16" s="11" t="n">
        <f aca="false">-SUMPRODUCT((Depreciation!$B$6:$B$10=N6)*Depreciation!$C$6:$C$10)</f>
        <v>-750000</v>
      </c>
      <c r="O16" s="11" t="n">
        <f aca="false">-SUMPRODUCT((Depreciation!$B$6:$B$10=O6)*Depreciation!$C$6:$C$10)</f>
        <v>-0</v>
      </c>
      <c r="P16" s="11" t="n">
        <f aca="false">-SUMPRODUCT((Depreciation!$B$6:$B$10=P6)*Depreciation!$C$6:$C$10)</f>
        <v>-0</v>
      </c>
      <c r="Q16" s="11" t="n">
        <f aca="false">-SUMPRODUCT((Depreciation!$B$6:$B$10=Q6)*Depreciation!$C$6:$C$10)</f>
        <v>-0</v>
      </c>
      <c r="R16" s="11" t="n">
        <f aca="false">-SUMPRODUCT((Depreciation!$B$6:$B$10=R6)*Depreciation!$C$6:$C$10)</f>
        <v>-0</v>
      </c>
      <c r="S16" s="11" t="n">
        <f aca="false">-SUMPRODUCT((Depreciation!$B$6:$B$10=S6)*Depreciation!$C$6:$C$10)</f>
        <v>-0</v>
      </c>
      <c r="T16" s="11" t="n">
        <f aca="false">-SUMPRODUCT((Depreciation!$B$6:$B$10=T6)*Depreciation!$C$6:$C$10)</f>
        <v>-0</v>
      </c>
      <c r="U16" s="11" t="n">
        <f aca="false">-SUMPRODUCT((Depreciation!$B$6:$B$10=U6)*Depreciation!$C$6:$C$10)</f>
        <v>-0</v>
      </c>
      <c r="V16" s="11" t="n">
        <f aca="false">-SUMPRODUCT((Depreciation!$B$6:$B$10=V6)*Depreciation!$C$6:$C$10)</f>
        <v>-0</v>
      </c>
      <c r="W16" s="11" t="n">
        <f aca="false">-SUMPRODUCT((Depreciation!$B$6:$B$10=W6)*Depreciation!$C$6:$C$10)</f>
        <v>-0</v>
      </c>
      <c r="X16" s="11" t="n">
        <f aca="false">-SUMPRODUCT((Depreciation!$B$6:$B$10=X6)*Depreciation!$C$6:$C$10)</f>
        <v>-0</v>
      </c>
      <c r="Y16" s="11" t="n">
        <f aca="false">-SUMPRODUCT((Depreciation!$B$6:$B$10=Y6)*Depreciation!$C$6:$C$10)</f>
        <v>-0</v>
      </c>
      <c r="Z16" s="11" t="n">
        <f aca="false">-SUMPRODUCT((Depreciation!$B$6:$B$10=Z6)*Depreciation!$C$6:$C$10)</f>
        <v>-750000</v>
      </c>
      <c r="AA16" s="11" t="n">
        <f aca="false">-SUMPRODUCT((Depreciation!$B$6:$B$10=AA6)*Depreciation!$C$6:$C$10)</f>
        <v>-0</v>
      </c>
      <c r="AB16" s="11" t="n">
        <f aca="false">-SUMPRODUCT((Depreciation!$B$6:$B$10=AB6)*Depreciation!$C$6:$C$10)</f>
        <v>-0</v>
      </c>
      <c r="AC16" s="11" t="n">
        <f aca="false">-SUMPRODUCT((Depreciation!$B$6:$B$10=AC6)*Depreciation!$C$6:$C$10)</f>
        <v>-0</v>
      </c>
      <c r="AD16" s="11" t="n">
        <f aca="false">-SUMPRODUCT((Depreciation!$B$6:$B$10=AD6)*Depreciation!$C$6:$C$10)</f>
        <v>-0</v>
      </c>
      <c r="AE16" s="11" t="n">
        <f aca="false">-SUMPRODUCT((Depreciation!$B$6:$B$10=AE6)*Depreciation!$C$6:$C$10)</f>
        <v>-0</v>
      </c>
      <c r="AF16" s="11" t="n">
        <f aca="false">-SUMPRODUCT((Depreciation!$B$6:$B$10=AF6)*Depreciation!$C$6:$C$10)</f>
        <v>-0</v>
      </c>
      <c r="AG16" s="11" t="n">
        <f aca="false">-SUMPRODUCT((Depreciation!$B$6:$B$10=AG6)*Depreciation!$C$6:$C$10)</f>
        <v>-0</v>
      </c>
      <c r="AH16" s="11" t="n">
        <f aca="false">-SUMPRODUCT((Depreciation!$B$6:$B$10=AH6)*Depreciation!$C$6:$C$10)</f>
        <v>-0</v>
      </c>
      <c r="AI16" s="11" t="n">
        <f aca="false">-SUMPRODUCT((Depreciation!$B$6:$B$10=AI6)*Depreciation!$C$6:$C$10)</f>
        <v>-0</v>
      </c>
      <c r="AJ16" s="11" t="n">
        <f aca="false">-SUMPRODUCT((Depreciation!$B$6:$B$10=AJ6)*Depreciation!$C$6:$C$10)</f>
        <v>-0</v>
      </c>
      <c r="AK16" s="11" t="n">
        <f aca="false">-SUMPRODUCT((Depreciation!$B$6:$B$10=AK6)*Depreciation!$C$6:$C$10)</f>
        <v>-0</v>
      </c>
    </row>
    <row r="17" customFormat="false" ht="15" hidden="false" customHeight="true" outlineLevel="0" collapsed="false">
      <c r="A17" s="14" t="s">
        <v>137</v>
      </c>
      <c r="B17" s="24" t="n">
        <f aca="false">B16</f>
        <v>-3000000</v>
      </c>
      <c r="C17" s="24" t="n">
        <f aca="false">C16</f>
        <v>-0</v>
      </c>
      <c r="D17" s="24" t="n">
        <f aca="false">D16</f>
        <v>-0</v>
      </c>
      <c r="E17" s="24" t="n">
        <f aca="false">E16</f>
        <v>-0</v>
      </c>
      <c r="F17" s="24" t="n">
        <f aca="false">F16</f>
        <v>-0</v>
      </c>
      <c r="G17" s="24" t="n">
        <f aca="false">G16</f>
        <v>-0</v>
      </c>
      <c r="H17" s="24" t="n">
        <f aca="false">H16</f>
        <v>-0</v>
      </c>
      <c r="I17" s="24" t="n">
        <f aca="false">I16</f>
        <v>-0</v>
      </c>
      <c r="J17" s="24" t="n">
        <f aca="false">J16</f>
        <v>-0</v>
      </c>
      <c r="K17" s="24" t="n">
        <f aca="false">K16</f>
        <v>-0</v>
      </c>
      <c r="L17" s="24" t="n">
        <f aca="false">L16</f>
        <v>-0</v>
      </c>
      <c r="M17" s="24" t="n">
        <f aca="false">M16</f>
        <v>-0</v>
      </c>
      <c r="N17" s="24" t="n">
        <f aca="false">N16</f>
        <v>-750000</v>
      </c>
      <c r="O17" s="24" t="n">
        <f aca="false">O16</f>
        <v>-0</v>
      </c>
      <c r="P17" s="24" t="n">
        <f aca="false">P16</f>
        <v>-0</v>
      </c>
      <c r="Q17" s="24" t="n">
        <f aca="false">Q16</f>
        <v>-0</v>
      </c>
      <c r="R17" s="24" t="n">
        <f aca="false">R16</f>
        <v>-0</v>
      </c>
      <c r="S17" s="24" t="n">
        <f aca="false">S16</f>
        <v>-0</v>
      </c>
      <c r="T17" s="24" t="n">
        <f aca="false">T16</f>
        <v>-0</v>
      </c>
      <c r="U17" s="24" t="n">
        <f aca="false">U16</f>
        <v>-0</v>
      </c>
      <c r="V17" s="24" t="n">
        <f aca="false">V16</f>
        <v>-0</v>
      </c>
      <c r="W17" s="24" t="n">
        <f aca="false">W16</f>
        <v>-0</v>
      </c>
      <c r="X17" s="24" t="n">
        <f aca="false">X16</f>
        <v>-0</v>
      </c>
      <c r="Y17" s="24" t="n">
        <f aca="false">Y16</f>
        <v>-0</v>
      </c>
      <c r="Z17" s="24" t="n">
        <f aca="false">Z16</f>
        <v>-750000</v>
      </c>
      <c r="AA17" s="24" t="n">
        <f aca="false">AA16</f>
        <v>-0</v>
      </c>
      <c r="AB17" s="24" t="n">
        <f aca="false">AB16</f>
        <v>-0</v>
      </c>
      <c r="AC17" s="24" t="n">
        <f aca="false">AC16</f>
        <v>-0</v>
      </c>
      <c r="AD17" s="24" t="n">
        <f aca="false">AD16</f>
        <v>-0</v>
      </c>
      <c r="AE17" s="24" t="n">
        <f aca="false">AE16</f>
        <v>-0</v>
      </c>
      <c r="AF17" s="24" t="n">
        <f aca="false">AF16</f>
        <v>-0</v>
      </c>
      <c r="AG17" s="24" t="n">
        <f aca="false">AG16</f>
        <v>-0</v>
      </c>
      <c r="AH17" s="24" t="n">
        <f aca="false">AH16</f>
        <v>-0</v>
      </c>
      <c r="AI17" s="24" t="n">
        <f aca="false">AI16</f>
        <v>-0</v>
      </c>
      <c r="AJ17" s="24" t="n">
        <f aca="false">AJ16</f>
        <v>-0</v>
      </c>
      <c r="AK17" s="24" t="n">
        <f aca="false">AK16</f>
        <v>-0</v>
      </c>
    </row>
    <row r="19" customFormat="false" ht="15" hidden="false" customHeight="true" outlineLevel="0" collapsed="false">
      <c r="A19" s="4" t="s">
        <v>138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customFormat="false" ht="15" hidden="false" customHeight="true" outlineLevel="0" collapsed="false">
      <c r="A20" s="10" t="s">
        <v>139</v>
      </c>
      <c r="B20" s="23" t="n">
        <f aca="false">'Balance Sheet'!B22</f>
        <v>10000000</v>
      </c>
      <c r="C20" s="23" t="n">
        <f aca="false">'Balance Sheet'!C22-'Balance Sheet'!B22</f>
        <v>0</v>
      </c>
      <c r="D20" s="23" t="n">
        <f aca="false">'Balance Sheet'!D22-'Balance Sheet'!C22</f>
        <v>0</v>
      </c>
      <c r="E20" s="23" t="n">
        <f aca="false">'Balance Sheet'!E22-'Balance Sheet'!D22</f>
        <v>0</v>
      </c>
      <c r="F20" s="23" t="n">
        <f aca="false">'Balance Sheet'!F22-'Balance Sheet'!E22</f>
        <v>0</v>
      </c>
      <c r="G20" s="23" t="n">
        <f aca="false">'Balance Sheet'!G22-'Balance Sheet'!F22</f>
        <v>0</v>
      </c>
      <c r="H20" s="23" t="n">
        <f aca="false">'Balance Sheet'!H22-'Balance Sheet'!G22</f>
        <v>0</v>
      </c>
      <c r="I20" s="23" t="n">
        <f aca="false">'Balance Sheet'!I22-'Balance Sheet'!H22</f>
        <v>0</v>
      </c>
      <c r="J20" s="23" t="n">
        <f aca="false">'Balance Sheet'!J22-'Balance Sheet'!I22</f>
        <v>0</v>
      </c>
      <c r="K20" s="23" t="n">
        <f aca="false">'Balance Sheet'!K22-'Balance Sheet'!J22</f>
        <v>0</v>
      </c>
      <c r="L20" s="23" t="n">
        <f aca="false">'Balance Sheet'!L22-'Balance Sheet'!K22</f>
        <v>0</v>
      </c>
      <c r="M20" s="23" t="n">
        <f aca="false">'Balance Sheet'!M22-'Balance Sheet'!L22</f>
        <v>0</v>
      </c>
      <c r="N20" s="23" t="n">
        <f aca="false">'Balance Sheet'!N22-'Balance Sheet'!M22</f>
        <v>0</v>
      </c>
      <c r="O20" s="23" t="n">
        <f aca="false">'Balance Sheet'!O22-'Balance Sheet'!N22</f>
        <v>0</v>
      </c>
      <c r="P20" s="23" t="n">
        <f aca="false">'Balance Sheet'!P22-'Balance Sheet'!O22</f>
        <v>0</v>
      </c>
      <c r="Q20" s="23" t="n">
        <f aca="false">'Balance Sheet'!Q22-'Balance Sheet'!P22</f>
        <v>0</v>
      </c>
      <c r="R20" s="23" t="n">
        <f aca="false">'Balance Sheet'!R22-'Balance Sheet'!Q22</f>
        <v>0</v>
      </c>
      <c r="S20" s="23" t="n">
        <f aca="false">'Balance Sheet'!S22-'Balance Sheet'!R22</f>
        <v>0</v>
      </c>
      <c r="T20" s="23" t="n">
        <f aca="false">'Balance Sheet'!T22-'Balance Sheet'!S22</f>
        <v>0</v>
      </c>
      <c r="U20" s="23" t="n">
        <f aca="false">'Balance Sheet'!U22-'Balance Sheet'!T22</f>
        <v>0</v>
      </c>
      <c r="V20" s="23" t="n">
        <f aca="false">'Balance Sheet'!V22-'Balance Sheet'!U22</f>
        <v>0</v>
      </c>
      <c r="W20" s="23" t="n">
        <f aca="false">'Balance Sheet'!W22-'Balance Sheet'!V22</f>
        <v>0</v>
      </c>
      <c r="X20" s="23" t="n">
        <f aca="false">'Balance Sheet'!X22-'Balance Sheet'!W22</f>
        <v>0</v>
      </c>
      <c r="Y20" s="23" t="n">
        <f aca="false">'Balance Sheet'!Y22-'Balance Sheet'!X22</f>
        <v>0</v>
      </c>
      <c r="Z20" s="23" t="n">
        <f aca="false">'Balance Sheet'!Z22-'Balance Sheet'!Y22</f>
        <v>0</v>
      </c>
      <c r="AA20" s="23" t="n">
        <f aca="false">'Balance Sheet'!AA22-'Balance Sheet'!Z22</f>
        <v>0</v>
      </c>
      <c r="AB20" s="23" t="n">
        <f aca="false">'Balance Sheet'!AB22-'Balance Sheet'!AA22</f>
        <v>0</v>
      </c>
      <c r="AC20" s="23" t="n">
        <f aca="false">'Balance Sheet'!AC22-'Balance Sheet'!AB22</f>
        <v>0</v>
      </c>
      <c r="AD20" s="23" t="n">
        <f aca="false">'Balance Sheet'!AD22-'Balance Sheet'!AC22</f>
        <v>0</v>
      </c>
      <c r="AE20" s="23" t="n">
        <f aca="false">'Balance Sheet'!AE22-'Balance Sheet'!AD22</f>
        <v>0</v>
      </c>
      <c r="AF20" s="23" t="n">
        <f aca="false">'Balance Sheet'!AF22-'Balance Sheet'!AE22</f>
        <v>0</v>
      </c>
      <c r="AG20" s="23" t="n">
        <f aca="false">'Balance Sheet'!AG22-'Balance Sheet'!AF22</f>
        <v>0</v>
      </c>
      <c r="AH20" s="23" t="n">
        <f aca="false">'Balance Sheet'!AH22-'Balance Sheet'!AG22</f>
        <v>0</v>
      </c>
      <c r="AI20" s="23" t="n">
        <f aca="false">'Balance Sheet'!AI22-'Balance Sheet'!AH22</f>
        <v>0</v>
      </c>
      <c r="AJ20" s="23" t="n">
        <f aca="false">'Balance Sheet'!AJ22-'Balance Sheet'!AI22</f>
        <v>0</v>
      </c>
      <c r="AK20" s="23" t="n">
        <f aca="false">'Balance Sheet'!AK22-'Balance Sheet'!AJ22</f>
        <v>0</v>
      </c>
    </row>
    <row r="21" customFormat="false" ht="15" hidden="false" customHeight="true" outlineLevel="0" collapsed="false">
      <c r="A21" s="14" t="s">
        <v>140</v>
      </c>
      <c r="B21" s="19" t="n">
        <f aca="false">B20</f>
        <v>10000000</v>
      </c>
      <c r="C21" s="19" t="n">
        <f aca="false">C20</f>
        <v>0</v>
      </c>
      <c r="D21" s="19" t="n">
        <f aca="false">D20</f>
        <v>0</v>
      </c>
      <c r="E21" s="19" t="n">
        <f aca="false">E20</f>
        <v>0</v>
      </c>
      <c r="F21" s="19" t="n">
        <f aca="false">F20</f>
        <v>0</v>
      </c>
      <c r="G21" s="19" t="n">
        <f aca="false">G20</f>
        <v>0</v>
      </c>
      <c r="H21" s="19" t="n">
        <f aca="false">H20</f>
        <v>0</v>
      </c>
      <c r="I21" s="19" t="n">
        <f aca="false">I20</f>
        <v>0</v>
      </c>
      <c r="J21" s="19" t="n">
        <f aca="false">J20</f>
        <v>0</v>
      </c>
      <c r="K21" s="19" t="n">
        <f aca="false">K20</f>
        <v>0</v>
      </c>
      <c r="L21" s="19" t="n">
        <f aca="false">L20</f>
        <v>0</v>
      </c>
      <c r="M21" s="19" t="n">
        <f aca="false">M20</f>
        <v>0</v>
      </c>
      <c r="N21" s="19" t="n">
        <f aca="false">N20</f>
        <v>0</v>
      </c>
      <c r="O21" s="19" t="n">
        <f aca="false">O20</f>
        <v>0</v>
      </c>
      <c r="P21" s="19" t="n">
        <f aca="false">P20</f>
        <v>0</v>
      </c>
      <c r="Q21" s="19" t="n">
        <f aca="false">Q20</f>
        <v>0</v>
      </c>
      <c r="R21" s="19" t="n">
        <f aca="false">R20</f>
        <v>0</v>
      </c>
      <c r="S21" s="19" t="n">
        <f aca="false">S20</f>
        <v>0</v>
      </c>
      <c r="T21" s="19" t="n">
        <f aca="false">T20</f>
        <v>0</v>
      </c>
      <c r="U21" s="19" t="n">
        <f aca="false">U20</f>
        <v>0</v>
      </c>
      <c r="V21" s="19" t="n">
        <f aca="false">V20</f>
        <v>0</v>
      </c>
      <c r="W21" s="19" t="n">
        <f aca="false">W20</f>
        <v>0</v>
      </c>
      <c r="X21" s="19" t="n">
        <f aca="false">X20</f>
        <v>0</v>
      </c>
      <c r="Y21" s="19" t="n">
        <f aca="false">Y20</f>
        <v>0</v>
      </c>
      <c r="Z21" s="19" t="n">
        <f aca="false">Z20</f>
        <v>0</v>
      </c>
      <c r="AA21" s="19" t="n">
        <f aca="false">AA20</f>
        <v>0</v>
      </c>
      <c r="AB21" s="19" t="n">
        <f aca="false">AB20</f>
        <v>0</v>
      </c>
      <c r="AC21" s="19" t="n">
        <f aca="false">AC20</f>
        <v>0</v>
      </c>
      <c r="AD21" s="19" t="n">
        <f aca="false">AD20</f>
        <v>0</v>
      </c>
      <c r="AE21" s="19" t="n">
        <f aca="false">AE20</f>
        <v>0</v>
      </c>
      <c r="AF21" s="19" t="n">
        <f aca="false">AF20</f>
        <v>0</v>
      </c>
      <c r="AG21" s="19" t="n">
        <f aca="false">AG20</f>
        <v>0</v>
      </c>
      <c r="AH21" s="19" t="n">
        <f aca="false">AH20</f>
        <v>0</v>
      </c>
      <c r="AI21" s="19" t="n">
        <f aca="false">AI20</f>
        <v>0</v>
      </c>
      <c r="AJ21" s="19" t="n">
        <f aca="false">AJ20</f>
        <v>0</v>
      </c>
      <c r="AK21" s="19" t="n">
        <f aca="false">AK20</f>
        <v>0</v>
      </c>
    </row>
    <row r="23" customFormat="false" ht="15" hidden="false" customHeight="true" outlineLevel="0" collapsed="false">
      <c r="A23" s="14" t="s">
        <v>141</v>
      </c>
      <c r="B23" s="24" t="n">
        <f aca="false">B13+B17+B21</f>
        <v>5566666.66666667</v>
      </c>
      <c r="C23" s="24" t="n">
        <f aca="false">C13+C17+C21</f>
        <v>-800000</v>
      </c>
      <c r="D23" s="24" t="n">
        <f aca="false">D13+D17+D21</f>
        <v>-800000</v>
      </c>
      <c r="E23" s="24" t="n">
        <f aca="false">E13+E17+E21</f>
        <v>-883333.333333333</v>
      </c>
      <c r="F23" s="24" t="n">
        <f aca="false">F13+F17+F21</f>
        <v>-250000</v>
      </c>
      <c r="G23" s="24" t="n">
        <f aca="false">G13+G17+G21</f>
        <v>-250000</v>
      </c>
      <c r="H23" s="24" t="n">
        <f aca="false">H13+H17+H21</f>
        <v>-250000</v>
      </c>
      <c r="I23" s="24" t="n">
        <f aca="false">I13+I17+I21</f>
        <v>-250000</v>
      </c>
      <c r="J23" s="24" t="n">
        <f aca="false">J13+J17+J21</f>
        <v>-250000</v>
      </c>
      <c r="K23" s="24" t="n">
        <f aca="false">K13+K17+K21</f>
        <v>-397777.777777778</v>
      </c>
      <c r="L23" s="24" t="n">
        <f aca="false">L13+L17+L21</f>
        <v>235555.555555556</v>
      </c>
      <c r="M23" s="24" t="n">
        <f aca="false">M13+M17+M21</f>
        <v>235555.555555556</v>
      </c>
      <c r="N23" s="24" t="n">
        <f aca="false">N13+N17+N21</f>
        <v>-1607999.44444444</v>
      </c>
      <c r="O23" s="24" t="n">
        <f aca="false">O13+O17+O21</f>
        <v>175203.888888889</v>
      </c>
      <c r="P23" s="24" t="n">
        <f aca="false">P13+P17+P21</f>
        <v>315073.888888889</v>
      </c>
      <c r="Q23" s="24" t="n">
        <f aca="false">Q13+Q17+Q21</f>
        <v>187935.555555556</v>
      </c>
      <c r="R23" s="24" t="n">
        <f aca="false">R13+R17+R21</f>
        <v>1026138.88888889</v>
      </c>
      <c r="S23" s="24" t="n">
        <f aca="false">S13+S17+S21</f>
        <v>1166008.88888889</v>
      </c>
      <c r="T23" s="24" t="n">
        <f aca="false">T13+T17+T21</f>
        <v>1038870.55555556</v>
      </c>
      <c r="U23" s="24" t="n">
        <f aca="false">U13+U17+U21</f>
        <v>1877073.88888889</v>
      </c>
      <c r="V23" s="24" t="n">
        <f aca="false">V13+V17+V21</f>
        <v>2016943.88888889</v>
      </c>
      <c r="W23" s="24" t="n">
        <f aca="false">W13+W17+W21</f>
        <v>1622797.22222222</v>
      </c>
      <c r="X23" s="24" t="n">
        <f aca="false">X13+X17+X21</f>
        <v>3159333.88888889</v>
      </c>
      <c r="Y23" s="24" t="n">
        <f aca="false">Y13+Y17+Y21</f>
        <v>3299203.88888889</v>
      </c>
      <c r="Z23" s="24" t="n">
        <f aca="false">Z13+Z17+Z21</f>
        <v>788732.38888889</v>
      </c>
      <c r="AA23" s="24" t="n">
        <f aca="false">AA13+AA17+AA21</f>
        <v>4369686.38888889</v>
      </c>
      <c r="AB23" s="24" t="n">
        <f aca="false">AB13+AB17+AB21</f>
        <v>4957140.38888889</v>
      </c>
      <c r="AC23" s="24" t="n">
        <f aca="false">AC13+AC17+AC21</f>
        <v>4957403.55555556</v>
      </c>
      <c r="AD23" s="24" t="n">
        <f aca="false">AD13+AD17+AD21</f>
        <v>7084690.88888889</v>
      </c>
      <c r="AE23" s="24" t="n">
        <f aca="false">AE13+AE17+AE21</f>
        <v>7672144.88888889</v>
      </c>
      <c r="AF23" s="24" t="n">
        <f aca="false">AF13+AF17+AF21</f>
        <v>7378812.63888889</v>
      </c>
      <c r="AG23" s="24" t="n">
        <f aca="false">AG13+AG17+AG21</f>
        <v>10276016.6388889</v>
      </c>
      <c r="AH23" s="24" t="n">
        <f aca="false">AH13+AH17+AH21</f>
        <v>10863470.6388889</v>
      </c>
      <c r="AI23" s="24" t="n">
        <f aca="false">AI13+AI17+AI21</f>
        <v>10570138.3888889</v>
      </c>
      <c r="AJ23" s="24" t="n">
        <f aca="false">AJ13+AJ17+AJ21</f>
        <v>13467342.3888889</v>
      </c>
      <c r="AK23" s="24" t="n">
        <f aca="false">AK13+AK17+AK21</f>
        <v>14054796.3888889</v>
      </c>
    </row>
    <row r="24" customFormat="false" ht="15" hidden="false" customHeight="true" outlineLevel="0" collapsed="false">
      <c r="A24" s="10" t="s">
        <v>142</v>
      </c>
      <c r="B24" s="30" t="n">
        <v>0</v>
      </c>
      <c r="C24" s="30" t="n">
        <f aca="false">B25</f>
        <v>5566666.66666667</v>
      </c>
      <c r="D24" s="30" t="n">
        <f aca="false">C25</f>
        <v>4766666.66666667</v>
      </c>
      <c r="E24" s="30" t="n">
        <f aca="false">D25</f>
        <v>3966666.66666667</v>
      </c>
      <c r="F24" s="30" t="n">
        <f aca="false">E25</f>
        <v>3083333.33333333</v>
      </c>
      <c r="G24" s="30" t="n">
        <f aca="false">F25</f>
        <v>2833333.33333333</v>
      </c>
      <c r="H24" s="30" t="n">
        <f aca="false">G25</f>
        <v>2583333.33333333</v>
      </c>
      <c r="I24" s="30" t="n">
        <f aca="false">H25</f>
        <v>2333333.33333333</v>
      </c>
      <c r="J24" s="30" t="n">
        <f aca="false">I25</f>
        <v>2083333.33333333</v>
      </c>
      <c r="K24" s="30" t="n">
        <f aca="false">J25</f>
        <v>1833333.33333333</v>
      </c>
      <c r="L24" s="30" t="n">
        <f aca="false">K25</f>
        <v>1435555.55555556</v>
      </c>
      <c r="M24" s="30" t="n">
        <f aca="false">L25</f>
        <v>1671111.11111111</v>
      </c>
      <c r="N24" s="30" t="n">
        <f aca="false">M25</f>
        <v>1906666.66666667</v>
      </c>
      <c r="O24" s="30" t="n">
        <f aca="false">N25</f>
        <v>298667.222222222</v>
      </c>
      <c r="P24" s="30" t="n">
        <f aca="false">O25</f>
        <v>473871.111111111</v>
      </c>
      <c r="Q24" s="30" t="n">
        <f aca="false">P25</f>
        <v>788945</v>
      </c>
      <c r="R24" s="30" t="n">
        <f aca="false">Q25</f>
        <v>976880.555555556</v>
      </c>
      <c r="S24" s="30" t="n">
        <f aca="false">R25</f>
        <v>2003019.44444444</v>
      </c>
      <c r="T24" s="30" t="n">
        <f aca="false">S25</f>
        <v>3169028.33333333</v>
      </c>
      <c r="U24" s="30" t="n">
        <f aca="false">T25</f>
        <v>4207898.88888889</v>
      </c>
      <c r="V24" s="30" t="n">
        <f aca="false">U25</f>
        <v>6084972.77777778</v>
      </c>
      <c r="W24" s="30" t="n">
        <f aca="false">V25</f>
        <v>8101916.66666667</v>
      </c>
      <c r="X24" s="30" t="n">
        <f aca="false">W25</f>
        <v>9724713.88888889</v>
      </c>
      <c r="Y24" s="30" t="n">
        <f aca="false">X25</f>
        <v>12884047.7777778</v>
      </c>
      <c r="Z24" s="30" t="n">
        <f aca="false">Y25</f>
        <v>16183251.6666667</v>
      </c>
      <c r="AA24" s="30" t="n">
        <f aca="false">Z25</f>
        <v>16971984.0555556</v>
      </c>
      <c r="AB24" s="30" t="n">
        <f aca="false">AA25</f>
        <v>21341670.4444444</v>
      </c>
      <c r="AC24" s="30" t="n">
        <f aca="false">AB25</f>
        <v>26298810.8333333</v>
      </c>
      <c r="AD24" s="30" t="n">
        <f aca="false">AC25</f>
        <v>31256214.3888889</v>
      </c>
      <c r="AE24" s="30" t="n">
        <f aca="false">AD25</f>
        <v>38340905.2777778</v>
      </c>
      <c r="AF24" s="30" t="n">
        <f aca="false">AE25</f>
        <v>46013050.1666667</v>
      </c>
      <c r="AG24" s="30" t="n">
        <f aca="false">AF25</f>
        <v>53391862.8055556</v>
      </c>
      <c r="AH24" s="30" t="n">
        <f aca="false">AG25</f>
        <v>63667879.4444445</v>
      </c>
      <c r="AI24" s="30" t="n">
        <f aca="false">AH25</f>
        <v>74531350.0833333</v>
      </c>
      <c r="AJ24" s="30" t="n">
        <f aca="false">AI25</f>
        <v>85101488.4722222</v>
      </c>
      <c r="AK24" s="30" t="n">
        <f aca="false">AJ25</f>
        <v>98568830.8611111</v>
      </c>
    </row>
    <row r="25" customFormat="false" ht="15" hidden="false" customHeight="true" outlineLevel="0" collapsed="false">
      <c r="A25" s="25" t="s">
        <v>143</v>
      </c>
      <c r="B25" s="26" t="n">
        <f aca="false">B24+B23</f>
        <v>5566666.66666667</v>
      </c>
      <c r="C25" s="26" t="n">
        <f aca="false">C24+C23</f>
        <v>4766666.66666667</v>
      </c>
      <c r="D25" s="26" t="n">
        <f aca="false">D24+D23</f>
        <v>3966666.66666667</v>
      </c>
      <c r="E25" s="26" t="n">
        <f aca="false">E24+E23</f>
        <v>3083333.33333333</v>
      </c>
      <c r="F25" s="26" t="n">
        <f aca="false">F24+F23</f>
        <v>2833333.33333333</v>
      </c>
      <c r="G25" s="26" t="n">
        <f aca="false">G24+G23</f>
        <v>2583333.33333333</v>
      </c>
      <c r="H25" s="26" t="n">
        <f aca="false">H24+H23</f>
        <v>2333333.33333333</v>
      </c>
      <c r="I25" s="26" t="n">
        <f aca="false">I24+I23</f>
        <v>2083333.33333333</v>
      </c>
      <c r="J25" s="26" t="n">
        <f aca="false">J24+J23</f>
        <v>1833333.33333333</v>
      </c>
      <c r="K25" s="26" t="n">
        <f aca="false">K24+K23</f>
        <v>1435555.55555556</v>
      </c>
      <c r="L25" s="26" t="n">
        <f aca="false">L24+L23</f>
        <v>1671111.11111111</v>
      </c>
      <c r="M25" s="26" t="n">
        <f aca="false">M24+M23</f>
        <v>1906666.66666667</v>
      </c>
      <c r="N25" s="26" t="n">
        <f aca="false">N24+N23</f>
        <v>298667.222222222</v>
      </c>
      <c r="O25" s="26" t="n">
        <f aca="false">O24+O23</f>
        <v>473871.111111111</v>
      </c>
      <c r="P25" s="26" t="n">
        <f aca="false">P24+P23</f>
        <v>788945</v>
      </c>
      <c r="Q25" s="26" t="n">
        <f aca="false">Q24+Q23</f>
        <v>976880.555555556</v>
      </c>
      <c r="R25" s="26" t="n">
        <f aca="false">R24+R23</f>
        <v>2003019.44444444</v>
      </c>
      <c r="S25" s="26" t="n">
        <f aca="false">S24+S23</f>
        <v>3169028.33333333</v>
      </c>
      <c r="T25" s="26" t="n">
        <f aca="false">T24+T23</f>
        <v>4207898.88888889</v>
      </c>
      <c r="U25" s="26" t="n">
        <f aca="false">U24+U23</f>
        <v>6084972.77777778</v>
      </c>
      <c r="V25" s="26" t="n">
        <f aca="false">V24+V23</f>
        <v>8101916.66666667</v>
      </c>
      <c r="W25" s="26" t="n">
        <f aca="false">W24+W23</f>
        <v>9724713.88888889</v>
      </c>
      <c r="X25" s="26" t="n">
        <f aca="false">X24+X23</f>
        <v>12884047.7777778</v>
      </c>
      <c r="Y25" s="26" t="n">
        <f aca="false">Y24+Y23</f>
        <v>16183251.6666667</v>
      </c>
      <c r="Z25" s="26" t="n">
        <f aca="false">Z24+Z23</f>
        <v>16971984.0555556</v>
      </c>
      <c r="AA25" s="26" t="n">
        <f aca="false">AA24+AA23</f>
        <v>21341670.4444444</v>
      </c>
      <c r="AB25" s="26" t="n">
        <f aca="false">AB24+AB23</f>
        <v>26298810.8333333</v>
      </c>
      <c r="AC25" s="26" t="n">
        <f aca="false">AC24+AC23</f>
        <v>31256214.3888889</v>
      </c>
      <c r="AD25" s="26" t="n">
        <f aca="false">AD24+AD23</f>
        <v>38340905.2777778</v>
      </c>
      <c r="AE25" s="26" t="n">
        <f aca="false">AE24+AE23</f>
        <v>46013050.1666667</v>
      </c>
      <c r="AF25" s="26" t="n">
        <f aca="false">AF24+AF23</f>
        <v>53391862.8055556</v>
      </c>
      <c r="AG25" s="26" t="n">
        <f aca="false">AG24+AG23</f>
        <v>63667879.4444445</v>
      </c>
      <c r="AH25" s="26" t="n">
        <f aca="false">AH24+AH23</f>
        <v>74531350.0833333</v>
      </c>
      <c r="AI25" s="26" t="n">
        <f aca="false">AI24+AI23</f>
        <v>85101488.4722222</v>
      </c>
      <c r="AJ25" s="26" t="n">
        <f aca="false">AJ24+AJ23</f>
        <v>98568830.8611111</v>
      </c>
      <c r="AK25" s="26" t="n">
        <f aca="false">AK24+AK23</f>
        <v>112623627.25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2026-09-09T02:07:22Z</dcterms:created>
  <dc:creator>openpyxl</dc:creator>
  <dc:description/>
  <dc:language>en-US</dc:language>
  <cp:lastModifiedBy/>
  <dcterms:modified xsi:type="dcterms:W3CDTF">2026-09-09T05:41:25Z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